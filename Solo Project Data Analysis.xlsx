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% memory with rating" sheetId="2" r:id="rId5"/>
    <sheet state="visible" name="% memory with valence and arous" sheetId="3" r:id="rId6"/>
    <sheet state="visible" name="OriginalxReported Ratings" sheetId="4" r:id="rId7"/>
    <sheet state="visible" name="ANOVA" sheetId="5" r:id="rId8"/>
    <sheet state="visible" name="Paired t-test" sheetId="6" r:id="rId9"/>
  </sheets>
  <definedNames>
    <definedName hidden="1" localSheetId="0" name="_xlnm._FilterDatabase">'Raw Data'!$A$1:$Z$1000</definedName>
  </definedNames>
  <calcPr/>
</workbook>
</file>

<file path=xl/sharedStrings.xml><?xml version="1.0" encoding="utf-8"?>
<sst xmlns="http://schemas.openxmlformats.org/spreadsheetml/2006/main" count="1588" uniqueCount="103">
  <si>
    <t>participant</t>
  </si>
  <si>
    <t>image_name</t>
  </si>
  <si>
    <t>condition</t>
  </si>
  <si>
    <t>response_code</t>
  </si>
  <si>
    <t>response_label</t>
  </si>
  <si>
    <t>phase1_image_name</t>
  </si>
  <si>
    <t>phase1_rating</t>
  </si>
  <si>
    <t>valence</t>
  </si>
  <si>
    <t>arousal</t>
  </si>
  <si>
    <t>P1</t>
  </si>
  <si>
    <t>Acorns 3.jpg</t>
  </si>
  <si>
    <t>old</t>
  </si>
  <si>
    <t>Forgotten</t>
  </si>
  <si>
    <t>Alcohol 6.jpg</t>
  </si>
  <si>
    <t>Familiar</t>
  </si>
  <si>
    <t>Ambulance 1.jpg</t>
  </si>
  <si>
    <t>Remembered</t>
  </si>
  <si>
    <t>Animal carcass 1.jpg</t>
  </si>
  <si>
    <t>Band 1.jpg</t>
  </si>
  <si>
    <t>Bark 6.jpg</t>
  </si>
  <si>
    <t>Bear 2.jpg</t>
  </si>
  <si>
    <t>Bubble 2.jpg</t>
  </si>
  <si>
    <t>Car 1.jpg</t>
  </si>
  <si>
    <t>Car accident 2.jpg</t>
  </si>
  <si>
    <t>Car crash 2.jpg</t>
  </si>
  <si>
    <t>Cat 12.jpg</t>
  </si>
  <si>
    <t>Child labor 2.jpg</t>
  </si>
  <si>
    <t>Cockroach 1.jpg</t>
  </si>
  <si>
    <t>Dead bodies 1.jpg</t>
  </si>
  <si>
    <t>Dog 24.jpg</t>
  </si>
  <si>
    <t>Dog attack 3.jpg</t>
  </si>
  <si>
    <t>Exercise 3.jpg</t>
  </si>
  <si>
    <t>Feces 2.jpg</t>
  </si>
  <si>
    <t>Fire 9.jpg</t>
  </si>
  <si>
    <t>Football player 1.jpg</t>
  </si>
  <si>
    <t>Gazing 2.jpg</t>
  </si>
  <si>
    <t>Grass 6.jpg</t>
  </si>
  <si>
    <t>Gun 5.jpg</t>
  </si>
  <si>
    <t>Orangutan 1.jpg</t>
  </si>
  <si>
    <t>Performance 2.jpg</t>
  </si>
  <si>
    <t>Pig 2.jpg</t>
  </si>
  <si>
    <t>Pigeon 6.jpg</t>
  </si>
  <si>
    <t>Plane crash 1.jpg</t>
  </si>
  <si>
    <t>Plane crash 3.jpg</t>
  </si>
  <si>
    <t>Police 2.jpg</t>
  </si>
  <si>
    <t>Rafting 6.jpg</t>
  </si>
  <si>
    <t>School 1.jpg</t>
  </si>
  <si>
    <t>Severed finger 1.jpg</t>
  </si>
  <si>
    <t>Shark 8.jpg</t>
  </si>
  <si>
    <t>Shot 3.jpg</t>
  </si>
  <si>
    <t>Sidewalk 2.jpg</t>
  </si>
  <si>
    <t>Skyscraper 1.jpg</t>
  </si>
  <si>
    <t>Snow 3.jpg</t>
  </si>
  <si>
    <t>Solar panel 1.jpg</t>
  </si>
  <si>
    <t>Soldiers 8.jpg</t>
  </si>
  <si>
    <t>Spider 2.jpg</t>
  </si>
  <si>
    <t>Stingray 2.jpg</t>
  </si>
  <si>
    <t>Tornado 1.jpg</t>
  </si>
  <si>
    <t>War 6.jpg</t>
  </si>
  <si>
    <t>War 8.jpg</t>
  </si>
  <si>
    <t>Wedding 12.jpg</t>
  </si>
  <si>
    <t>P2</t>
  </si>
  <si>
    <t>Dirt 1.jpg</t>
  </si>
  <si>
    <t>P3</t>
  </si>
  <si>
    <t>P4</t>
  </si>
  <si>
    <t>P5</t>
  </si>
  <si>
    <t>P6</t>
  </si>
  <si>
    <t xml:space="preserve">Total no. of images rated 1 </t>
  </si>
  <si>
    <t>Total no. of images rated 2</t>
  </si>
  <si>
    <t>Total no. of images rated 3</t>
  </si>
  <si>
    <t>Total no. of images rated 4</t>
  </si>
  <si>
    <t>forgotten</t>
  </si>
  <si>
    <t>familiar</t>
  </si>
  <si>
    <t>remembered</t>
  </si>
  <si>
    <t>Memory_type</t>
  </si>
  <si>
    <t>intensity_1</t>
  </si>
  <si>
    <t>intensity_2</t>
  </si>
  <si>
    <t>intensity_3</t>
  </si>
  <si>
    <t>intensity_4</t>
  </si>
  <si>
    <t>% forgotten</t>
  </si>
  <si>
    <t>% familiar</t>
  </si>
  <si>
    <t>% remembered</t>
  </si>
  <si>
    <t>Rated '1'</t>
  </si>
  <si>
    <t>Rated '2'</t>
  </si>
  <si>
    <t>Rated '3'</t>
  </si>
  <si>
    <t>Rated '4'</t>
  </si>
  <si>
    <t>Image_name</t>
  </si>
  <si>
    <t>Mean rating</t>
  </si>
  <si>
    <t>int1_forgot</t>
  </si>
  <si>
    <t>int1_familiar</t>
  </si>
  <si>
    <t>int1_remember</t>
  </si>
  <si>
    <t>int2_forgot</t>
  </si>
  <si>
    <t>int2_familiar</t>
  </si>
  <si>
    <t>int2_remember</t>
  </si>
  <si>
    <t>int3_forgot</t>
  </si>
  <si>
    <t>int3_familiar</t>
  </si>
  <si>
    <t>int3_remember</t>
  </si>
  <si>
    <t>int4_forgot</t>
  </si>
  <si>
    <t>int4_familiar</t>
  </si>
  <si>
    <t>int4_remember</t>
  </si>
  <si>
    <t>Participant</t>
  </si>
  <si>
    <t>remembered_intensity1</t>
  </si>
  <si>
    <t>remembered_intensity4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</si>
</sst>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Recalled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'% memory with rating'!$B$23</c:f>
            </c:strRef>
          </c:tx>
          <c:spPr>
            <a:solidFill>
              <a:srgbClr val="000000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dPt>
            <c:idx val="1"/>
          </c:dPt>
          <c:dPt>
            <c:idx val="2"/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rating'!$A$24:$A$27</c:f>
            </c:strRef>
          </c:cat>
          <c:val>
            <c:numRef>
              <c:f>'% memory with rating'!$B$24:$B$27</c:f>
              <c:numCache/>
            </c:numRef>
          </c:val>
        </c:ser>
        <c:ser>
          <c:idx val="1"/>
          <c:order val="1"/>
          <c:tx>
            <c:strRef>
              <c:f>'% memory with rating'!$C$23</c:f>
            </c:strRef>
          </c:tx>
          <c:spPr>
            <a:solidFill>
              <a:srgbClr val="3C78D8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rating'!$A$24:$A$27</c:f>
            </c:strRef>
          </c:cat>
          <c:val>
            <c:numRef>
              <c:f>'% memory with rating'!$C$24:$C$27</c:f>
              <c:numCache/>
            </c:numRef>
          </c:val>
        </c:ser>
        <c:ser>
          <c:idx val="2"/>
          <c:order val="2"/>
          <c:tx>
            <c:strRef>
              <c:f>'% memory with rating'!$D$23</c:f>
            </c:strRef>
          </c:tx>
          <c:spPr>
            <a:solidFill>
              <a:srgbClr val="F5C6D7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rating'!$A$24:$A$27</c:f>
            </c:strRef>
          </c:cat>
          <c:val>
            <c:numRef>
              <c:f>'% memory with rating'!$D$24:$D$27</c:f>
              <c:numCache/>
            </c:numRef>
          </c:val>
        </c:ser>
        <c:axId val="709135802"/>
        <c:axId val="936858033"/>
      </c:barChart>
      <c:catAx>
        <c:axId val="709135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Intensity Rating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36858033"/>
      </c:catAx>
      <c:valAx>
        <c:axId val="936858033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Percentage 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09135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Recalled with Subjective Emotional Intensity and Rating of Memory Performance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'% memory with valence and arous'!$B$23</c:f>
            </c:strRef>
          </c:tx>
          <c:spPr>
            <a:solidFill>
              <a:srgbClr val="000000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dPt>
            <c:idx val="1"/>
          </c:dPt>
          <c:dPt>
            <c:idx val="2"/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valence and arous'!$A$24:$A$27</c:f>
            </c:strRef>
          </c:cat>
          <c:val>
            <c:numRef>
              <c:f>'% memory with valence and arous'!$B$24:$B$27</c:f>
              <c:numCache/>
            </c:numRef>
          </c:val>
        </c:ser>
        <c:ser>
          <c:idx val="1"/>
          <c:order val="1"/>
          <c:tx>
            <c:strRef>
              <c:f>'% memory with valence and arous'!$C$23</c:f>
            </c:strRef>
          </c:tx>
          <c:spPr>
            <a:solidFill>
              <a:srgbClr val="3C78D8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valence and arous'!$A$24:$A$27</c:f>
            </c:strRef>
          </c:cat>
          <c:val>
            <c:numRef>
              <c:f>'% memory with valence and arous'!$C$24:$C$27</c:f>
              <c:numCache/>
            </c:numRef>
          </c:val>
        </c:ser>
        <c:ser>
          <c:idx val="2"/>
          <c:order val="2"/>
          <c:tx>
            <c:strRef>
              <c:f>'% memory with valence and arous'!$D$23</c:f>
            </c:strRef>
          </c:tx>
          <c:spPr>
            <a:solidFill>
              <a:srgbClr val="F5C6D7"/>
            </a:solidFill>
            <a:ln cmpd="sng" w="19050">
              <a:solidFill>
                <a:srgbClr val="000000">
                  <a:alpha val="100000"/>
                </a:srgbClr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'% memory with valence and arous'!$A$24:$A$27</c:f>
            </c:strRef>
          </c:cat>
          <c:val>
            <c:numRef>
              <c:f>'% memory with valence and arous'!$D$24:$D$27</c:f>
              <c:numCache/>
            </c:numRef>
          </c:val>
        </c:ser>
        <c:axId val="1038467976"/>
        <c:axId val="1699060815"/>
      </c:barChart>
      <c:catAx>
        <c:axId val="1038467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Intensity Rating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99060815"/>
      </c:catAx>
      <c:valAx>
        <c:axId val="1699060815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Percentage 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38467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3</xdr:row>
      <xdr:rowOff>152400</xdr:rowOff>
    </xdr:from>
    <xdr:ext cx="60579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5</xdr:row>
      <xdr:rowOff>9525</xdr:rowOff>
    </xdr:from>
    <xdr:ext cx="60579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14</xdr:row>
      <xdr:rowOff>152400</xdr:rowOff>
    </xdr:from>
    <xdr:ext cx="7600950" cy="4324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11</xdr:row>
      <xdr:rowOff>152400</xdr:rowOff>
    </xdr:from>
    <xdr:ext cx="8810625" cy="4324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7.5"/>
    <col customWidth="1" min="3" max="3" width="9.88"/>
    <col customWidth="1" min="4" max="4" width="14.63"/>
    <col customWidth="1" min="5" max="5" width="15.0"/>
    <col customWidth="1" min="6" max="6" width="17.5"/>
    <col customWidth="1" min="7" max="7" width="14.75"/>
    <col customWidth="1" min="8" max="2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10</v>
      </c>
      <c r="G2" s="5">
        <v>2.0</v>
      </c>
      <c r="H2" s="4">
        <v>4.754901961</v>
      </c>
      <c r="I2" s="4">
        <v>2.306930693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9</v>
      </c>
      <c r="B3" s="4" t="s">
        <v>13</v>
      </c>
      <c r="C3" s="4" t="s">
        <v>11</v>
      </c>
      <c r="D3" s="4">
        <v>2.0</v>
      </c>
      <c r="E3" s="4" t="s">
        <v>14</v>
      </c>
      <c r="F3" s="4" t="s">
        <v>13</v>
      </c>
      <c r="G3" s="5">
        <v>1.0</v>
      </c>
      <c r="H3" s="4">
        <v>4.537037037</v>
      </c>
      <c r="I3" s="4">
        <v>2.644230769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9</v>
      </c>
      <c r="B4" s="4" t="s">
        <v>15</v>
      </c>
      <c r="C4" s="4" t="s">
        <v>11</v>
      </c>
      <c r="D4" s="4">
        <v>3.0</v>
      </c>
      <c r="E4" s="4" t="s">
        <v>16</v>
      </c>
      <c r="F4" s="4" t="s">
        <v>15</v>
      </c>
      <c r="G4" s="5">
        <v>4.0</v>
      </c>
      <c r="H4" s="4">
        <v>2.333333333</v>
      </c>
      <c r="I4" s="4">
        <v>4.163461538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4" t="s">
        <v>17</v>
      </c>
      <c r="C5" s="4" t="s">
        <v>11</v>
      </c>
      <c r="D5" s="4">
        <v>3.0</v>
      </c>
      <c r="E5" s="4" t="s">
        <v>16</v>
      </c>
      <c r="F5" s="4" t="s">
        <v>17</v>
      </c>
      <c r="G5" s="5">
        <v>3.0</v>
      </c>
      <c r="H5" s="4">
        <v>2.722222222</v>
      </c>
      <c r="I5" s="4">
        <v>3.769230769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4" t="s">
        <v>18</v>
      </c>
      <c r="C6" s="4" t="s">
        <v>11</v>
      </c>
      <c r="D6" s="4">
        <v>3.0</v>
      </c>
      <c r="E6" s="4" t="s">
        <v>16</v>
      </c>
      <c r="F6" s="4" t="s">
        <v>18</v>
      </c>
      <c r="G6" s="5">
        <v>2.0</v>
      </c>
      <c r="H6" s="4">
        <v>4.871287129</v>
      </c>
      <c r="I6" s="4">
        <v>3.009708738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4" t="s">
        <v>19</v>
      </c>
      <c r="C7" s="4" t="s">
        <v>11</v>
      </c>
      <c r="D7" s="4">
        <v>3.0</v>
      </c>
      <c r="E7" s="4" t="s">
        <v>16</v>
      </c>
      <c r="F7" s="4" t="s">
        <v>19</v>
      </c>
      <c r="G7" s="5">
        <v>1.0</v>
      </c>
      <c r="H7" s="4">
        <v>4.257425743</v>
      </c>
      <c r="I7" s="4">
        <v>2.203883495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9</v>
      </c>
      <c r="B8" s="4" t="s">
        <v>20</v>
      </c>
      <c r="C8" s="4" t="s">
        <v>11</v>
      </c>
      <c r="D8" s="4">
        <v>3.0</v>
      </c>
      <c r="E8" s="4" t="s">
        <v>16</v>
      </c>
      <c r="F8" s="4" t="s">
        <v>20</v>
      </c>
      <c r="G8" s="5">
        <v>3.0</v>
      </c>
      <c r="H8" s="4">
        <v>4.416666667</v>
      </c>
      <c r="I8" s="4">
        <v>3.778846154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9</v>
      </c>
      <c r="B9" s="4" t="s">
        <v>21</v>
      </c>
      <c r="C9" s="4" t="s">
        <v>11</v>
      </c>
      <c r="D9" s="4">
        <v>3.0</v>
      </c>
      <c r="E9" s="4" t="s">
        <v>16</v>
      </c>
      <c r="F9" s="4" t="s">
        <v>21</v>
      </c>
      <c r="G9" s="5">
        <v>1.0</v>
      </c>
      <c r="H9" s="4">
        <v>5.0</v>
      </c>
      <c r="I9" s="4">
        <v>3.038834951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9</v>
      </c>
      <c r="B10" s="4" t="s">
        <v>22</v>
      </c>
      <c r="C10" s="4" t="s">
        <v>11</v>
      </c>
      <c r="D10" s="4">
        <v>2.0</v>
      </c>
      <c r="E10" s="4" t="s">
        <v>14</v>
      </c>
      <c r="F10" s="4" t="s">
        <v>22</v>
      </c>
      <c r="G10" s="5">
        <v>1.0</v>
      </c>
      <c r="H10" s="4">
        <v>5.225490196</v>
      </c>
      <c r="I10" s="4">
        <v>4.326732673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9</v>
      </c>
      <c r="B11" s="4" t="s">
        <v>23</v>
      </c>
      <c r="C11" s="4" t="s">
        <v>11</v>
      </c>
      <c r="D11" s="4">
        <v>2.0</v>
      </c>
      <c r="E11" s="4" t="s">
        <v>14</v>
      </c>
      <c r="F11" s="4" t="s">
        <v>23</v>
      </c>
      <c r="G11" s="5">
        <v>1.0</v>
      </c>
      <c r="H11" s="4">
        <v>1.972222222</v>
      </c>
      <c r="I11" s="4">
        <v>4.086538462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9</v>
      </c>
      <c r="B12" s="4" t="s">
        <v>24</v>
      </c>
      <c r="C12" s="4" t="s">
        <v>11</v>
      </c>
      <c r="D12" s="4">
        <v>2.0</v>
      </c>
      <c r="E12" s="4" t="s">
        <v>14</v>
      </c>
      <c r="F12" s="4" t="s">
        <v>24</v>
      </c>
      <c r="G12" s="5">
        <v>3.0</v>
      </c>
      <c r="H12" s="4">
        <v>1.99009901</v>
      </c>
      <c r="I12" s="4">
        <v>4.213592233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9</v>
      </c>
      <c r="B13" s="4" t="s">
        <v>25</v>
      </c>
      <c r="C13" s="4" t="s">
        <v>11</v>
      </c>
      <c r="D13" s="4">
        <v>1.0</v>
      </c>
      <c r="E13" s="4" t="s">
        <v>12</v>
      </c>
      <c r="F13" s="4" t="s">
        <v>25</v>
      </c>
      <c r="G13" s="5">
        <v>3.0</v>
      </c>
      <c r="H13" s="4">
        <v>5.185185185</v>
      </c>
      <c r="I13" s="4">
        <v>3.384615385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9</v>
      </c>
      <c r="B14" s="4" t="s">
        <v>26</v>
      </c>
      <c r="C14" s="4" t="s">
        <v>11</v>
      </c>
      <c r="D14" s="4">
        <v>3.0</v>
      </c>
      <c r="E14" s="4" t="s">
        <v>16</v>
      </c>
      <c r="F14" s="4" t="s">
        <v>26</v>
      </c>
      <c r="G14" s="5">
        <v>4.0</v>
      </c>
      <c r="H14" s="4">
        <v>2.821782178</v>
      </c>
      <c r="I14" s="4">
        <v>3.650485437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9</v>
      </c>
      <c r="B15" s="4" t="s">
        <v>27</v>
      </c>
      <c r="C15" s="4" t="s">
        <v>11</v>
      </c>
      <c r="D15" s="4">
        <v>3.0</v>
      </c>
      <c r="E15" s="4" t="s">
        <v>16</v>
      </c>
      <c r="F15" s="4" t="s">
        <v>27</v>
      </c>
      <c r="G15" s="5">
        <v>2.0</v>
      </c>
      <c r="H15" s="4">
        <v>2.058823529</v>
      </c>
      <c r="I15" s="4">
        <v>4.346534653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9</v>
      </c>
      <c r="B16" s="4" t="s">
        <v>28</v>
      </c>
      <c r="C16" s="4" t="s">
        <v>11</v>
      </c>
      <c r="D16" s="4">
        <v>3.0</v>
      </c>
      <c r="E16" s="4" t="s">
        <v>16</v>
      </c>
      <c r="F16" s="4" t="s">
        <v>28</v>
      </c>
      <c r="G16" s="5">
        <v>4.0</v>
      </c>
      <c r="H16" s="4">
        <v>1.198019802</v>
      </c>
      <c r="I16" s="4">
        <v>4.514563107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4"/>
      <c r="C17" s="4"/>
      <c r="D17" s="4"/>
      <c r="E17" s="4"/>
      <c r="F17" s="4"/>
      <c r="G17" s="5"/>
      <c r="H17" s="4">
        <v>1.607843137</v>
      </c>
      <c r="I17" s="4">
        <v>4.98019802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9</v>
      </c>
      <c r="B18" s="4" t="s">
        <v>29</v>
      </c>
      <c r="C18" s="4" t="s">
        <v>11</v>
      </c>
      <c r="D18" s="4">
        <v>3.0</v>
      </c>
      <c r="E18" s="4" t="s">
        <v>16</v>
      </c>
      <c r="F18" s="4" t="s">
        <v>29</v>
      </c>
      <c r="G18" s="5">
        <v>4.0</v>
      </c>
      <c r="H18" s="4">
        <v>1.892156863</v>
      </c>
      <c r="I18" s="4">
        <v>4.772277228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9</v>
      </c>
      <c r="B19" s="4" t="s">
        <v>30</v>
      </c>
      <c r="C19" s="4" t="s">
        <v>11</v>
      </c>
      <c r="D19" s="4">
        <v>3.0</v>
      </c>
      <c r="E19" s="4" t="s">
        <v>16</v>
      </c>
      <c r="F19" s="4" t="s">
        <v>30</v>
      </c>
      <c r="G19" s="5">
        <v>4.0</v>
      </c>
      <c r="H19" s="4">
        <v>2.647058824</v>
      </c>
      <c r="I19" s="4">
        <v>5.089108911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</v>
      </c>
      <c r="B20" s="4" t="s">
        <v>31</v>
      </c>
      <c r="C20" s="4" t="s">
        <v>11</v>
      </c>
      <c r="D20" s="4">
        <v>3.0</v>
      </c>
      <c r="E20" s="4" t="s">
        <v>16</v>
      </c>
      <c r="F20" s="4" t="s">
        <v>31</v>
      </c>
      <c r="G20" s="5">
        <v>3.0</v>
      </c>
      <c r="H20" s="4">
        <v>4.833333333</v>
      </c>
      <c r="I20" s="4">
        <v>4.297029703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9</v>
      </c>
      <c r="B21" s="4" t="s">
        <v>32</v>
      </c>
      <c r="C21" s="4" t="s">
        <v>11</v>
      </c>
      <c r="D21" s="4">
        <v>3.0</v>
      </c>
      <c r="E21" s="4" t="s">
        <v>16</v>
      </c>
      <c r="F21" s="4" t="s">
        <v>32</v>
      </c>
      <c r="G21" s="5">
        <v>4.0</v>
      </c>
      <c r="H21" s="4">
        <v>2.009803922</v>
      </c>
      <c r="I21" s="4">
        <v>3.524752475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9</v>
      </c>
      <c r="B22" s="4" t="s">
        <v>33</v>
      </c>
      <c r="C22" s="4" t="s">
        <v>11</v>
      </c>
      <c r="D22" s="4">
        <v>3.0</v>
      </c>
      <c r="E22" s="4" t="s">
        <v>16</v>
      </c>
      <c r="F22" s="4" t="s">
        <v>33</v>
      </c>
      <c r="G22" s="5">
        <v>3.0</v>
      </c>
      <c r="H22" s="4">
        <v>1.470588235</v>
      </c>
      <c r="I22" s="4">
        <v>5.148514851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9</v>
      </c>
      <c r="B23" s="4" t="s">
        <v>34</v>
      </c>
      <c r="C23" s="4" t="s">
        <v>11</v>
      </c>
      <c r="D23" s="4">
        <v>3.0</v>
      </c>
      <c r="E23" s="4" t="s">
        <v>16</v>
      </c>
      <c r="F23" s="4" t="s">
        <v>34</v>
      </c>
      <c r="G23" s="5">
        <v>3.0</v>
      </c>
      <c r="H23" s="4">
        <v>4.768518519</v>
      </c>
      <c r="I23" s="4">
        <v>3.576923077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9</v>
      </c>
      <c r="B24" s="4" t="s">
        <v>35</v>
      </c>
      <c r="C24" s="4" t="s">
        <v>11</v>
      </c>
      <c r="D24" s="4">
        <v>3.0</v>
      </c>
      <c r="E24" s="4" t="s">
        <v>16</v>
      </c>
      <c r="F24" s="4" t="s">
        <v>35</v>
      </c>
      <c r="G24" s="5">
        <v>3.0</v>
      </c>
      <c r="H24" s="4">
        <v>5.107843137</v>
      </c>
      <c r="I24" s="4">
        <v>3.376237624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9</v>
      </c>
      <c r="B25" s="4" t="s">
        <v>36</v>
      </c>
      <c r="C25" s="4" t="s">
        <v>11</v>
      </c>
      <c r="D25" s="4">
        <v>3.0</v>
      </c>
      <c r="E25" s="4" t="s">
        <v>16</v>
      </c>
      <c r="F25" s="4" t="s">
        <v>36</v>
      </c>
      <c r="G25" s="5">
        <v>2.0</v>
      </c>
      <c r="H25" s="4">
        <v>5.158415842</v>
      </c>
      <c r="I25" s="4">
        <v>2.854368932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9</v>
      </c>
      <c r="B26" s="4" t="s">
        <v>37</v>
      </c>
      <c r="C26" s="4" t="s">
        <v>11</v>
      </c>
      <c r="D26" s="4">
        <v>3.0</v>
      </c>
      <c r="E26" s="4" t="s">
        <v>16</v>
      </c>
      <c r="F26" s="4" t="s">
        <v>37</v>
      </c>
      <c r="G26" s="5">
        <v>4.0</v>
      </c>
      <c r="H26" s="4">
        <v>2.921568627</v>
      </c>
      <c r="I26" s="4">
        <v>4.118811881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9</v>
      </c>
      <c r="B27" s="4" t="s">
        <v>38</v>
      </c>
      <c r="C27" s="4" t="s">
        <v>11</v>
      </c>
      <c r="D27" s="4">
        <v>3.0</v>
      </c>
      <c r="E27" s="4" t="s">
        <v>16</v>
      </c>
      <c r="F27" s="4" t="s">
        <v>38</v>
      </c>
      <c r="G27" s="5">
        <v>3.0</v>
      </c>
      <c r="H27" s="4">
        <v>4.941176471</v>
      </c>
      <c r="I27" s="4">
        <v>3.574257426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9</v>
      </c>
      <c r="B28" s="4" t="s">
        <v>39</v>
      </c>
      <c r="C28" s="4" t="s">
        <v>11</v>
      </c>
      <c r="D28" s="4">
        <v>2.0</v>
      </c>
      <c r="E28" s="4" t="s">
        <v>14</v>
      </c>
      <c r="F28" s="4" t="s">
        <v>39</v>
      </c>
      <c r="G28" s="5">
        <v>1.0</v>
      </c>
      <c r="H28" s="4">
        <v>4.703703704</v>
      </c>
      <c r="I28" s="4">
        <v>3.490384615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9</v>
      </c>
      <c r="B29" s="4" t="s">
        <v>40</v>
      </c>
      <c r="C29" s="4" t="s">
        <v>11</v>
      </c>
      <c r="D29" s="4">
        <v>3.0</v>
      </c>
      <c r="E29" s="4" t="s">
        <v>16</v>
      </c>
      <c r="F29" s="4" t="s">
        <v>40</v>
      </c>
      <c r="G29" s="5">
        <v>3.0</v>
      </c>
      <c r="H29" s="4">
        <v>4.694444444</v>
      </c>
      <c r="I29" s="4">
        <v>3.201923077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9</v>
      </c>
      <c r="B30" s="4" t="s">
        <v>41</v>
      </c>
      <c r="C30" s="4" t="s">
        <v>11</v>
      </c>
      <c r="D30" s="4">
        <v>2.0</v>
      </c>
      <c r="E30" s="4" t="s">
        <v>14</v>
      </c>
      <c r="F30" s="4" t="s">
        <v>41</v>
      </c>
      <c r="G30" s="5">
        <v>4.0</v>
      </c>
      <c r="H30" s="4">
        <v>2.324074074</v>
      </c>
      <c r="I30" s="4">
        <v>3.817307692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9</v>
      </c>
      <c r="B31" s="4" t="s">
        <v>42</v>
      </c>
      <c r="C31" s="4" t="s">
        <v>11</v>
      </c>
      <c r="D31" s="4">
        <v>1.0</v>
      </c>
      <c r="E31" s="4" t="s">
        <v>12</v>
      </c>
      <c r="F31" s="4" t="s">
        <v>42</v>
      </c>
      <c r="G31" s="5">
        <v>4.0</v>
      </c>
      <c r="H31" s="4">
        <v>2.598039216</v>
      </c>
      <c r="I31" s="4">
        <v>4.00990099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9</v>
      </c>
      <c r="B32" s="4" t="s">
        <v>43</v>
      </c>
      <c r="C32" s="4" t="s">
        <v>11</v>
      </c>
      <c r="D32" s="4">
        <v>3.0</v>
      </c>
      <c r="E32" s="4" t="s">
        <v>16</v>
      </c>
      <c r="F32" s="4" t="s">
        <v>43</v>
      </c>
      <c r="G32" s="5">
        <v>3.0</v>
      </c>
      <c r="H32" s="4">
        <v>2.235294118</v>
      </c>
      <c r="I32" s="4">
        <v>4.128712871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9</v>
      </c>
      <c r="B33" s="4" t="s">
        <v>44</v>
      </c>
      <c r="C33" s="4" t="s">
        <v>11</v>
      </c>
      <c r="D33" s="4">
        <v>3.0</v>
      </c>
      <c r="E33" s="4" t="s">
        <v>16</v>
      </c>
      <c r="F33" s="4" t="s">
        <v>44</v>
      </c>
      <c r="G33" s="5">
        <v>3.0</v>
      </c>
      <c r="H33" s="4">
        <v>2.388888889</v>
      </c>
      <c r="I33" s="4">
        <v>4.567307692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9</v>
      </c>
      <c r="B34" s="4" t="s">
        <v>45</v>
      </c>
      <c r="C34" s="4" t="s">
        <v>11</v>
      </c>
      <c r="D34" s="4">
        <v>3.0</v>
      </c>
      <c r="E34" s="4" t="s">
        <v>16</v>
      </c>
      <c r="F34" s="4" t="s">
        <v>45</v>
      </c>
      <c r="G34" s="5">
        <v>2.0</v>
      </c>
      <c r="H34" s="4">
        <v>4.990740741</v>
      </c>
      <c r="I34" s="4">
        <v>4.115384615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9</v>
      </c>
      <c r="B35" s="4" t="s">
        <v>46</v>
      </c>
      <c r="C35" s="4" t="s">
        <v>11</v>
      </c>
      <c r="D35" s="4">
        <v>3.0</v>
      </c>
      <c r="E35" s="4" t="s">
        <v>16</v>
      </c>
      <c r="F35" s="4" t="s">
        <v>46</v>
      </c>
      <c r="G35" s="5">
        <v>2.0</v>
      </c>
      <c r="H35" s="4">
        <v>5.147058824</v>
      </c>
      <c r="I35" s="4">
        <v>3.148514851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9</v>
      </c>
      <c r="B36" s="4" t="s">
        <v>47</v>
      </c>
      <c r="C36" s="4" t="s">
        <v>11</v>
      </c>
      <c r="D36" s="4">
        <v>3.0</v>
      </c>
      <c r="E36" s="4" t="s">
        <v>16</v>
      </c>
      <c r="F36" s="4" t="s">
        <v>47</v>
      </c>
      <c r="G36" s="5">
        <v>3.0</v>
      </c>
      <c r="H36" s="4">
        <v>1.673267327</v>
      </c>
      <c r="I36" s="4">
        <v>4.368932039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9</v>
      </c>
      <c r="B37" s="4" t="s">
        <v>48</v>
      </c>
      <c r="C37" s="4" t="s">
        <v>11</v>
      </c>
      <c r="D37" s="4">
        <v>3.0</v>
      </c>
      <c r="E37" s="4" t="s">
        <v>16</v>
      </c>
      <c r="F37" s="4" t="s">
        <v>48</v>
      </c>
      <c r="G37" s="5">
        <v>2.0</v>
      </c>
      <c r="H37" s="4">
        <v>4.068627451</v>
      </c>
      <c r="I37" s="4">
        <v>4.445544554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9</v>
      </c>
      <c r="B38" s="4" t="s">
        <v>49</v>
      </c>
      <c r="C38" s="4" t="s">
        <v>11</v>
      </c>
      <c r="D38" s="4">
        <v>3.0</v>
      </c>
      <c r="E38" s="4" t="s">
        <v>16</v>
      </c>
      <c r="F38" s="4" t="s">
        <v>49</v>
      </c>
      <c r="G38" s="5">
        <v>2.0</v>
      </c>
      <c r="H38" s="4">
        <v>1.916666667</v>
      </c>
      <c r="I38" s="4">
        <v>4.173076923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9</v>
      </c>
      <c r="B39" s="4" t="s">
        <v>50</v>
      </c>
      <c r="C39" s="4" t="s">
        <v>11</v>
      </c>
      <c r="D39" s="4">
        <v>1.0</v>
      </c>
      <c r="E39" s="4" t="s">
        <v>12</v>
      </c>
      <c r="F39" s="4" t="s">
        <v>50</v>
      </c>
      <c r="G39" s="5">
        <v>3.0</v>
      </c>
      <c r="H39" s="4">
        <v>4.568627451</v>
      </c>
      <c r="I39" s="4">
        <v>2.415841584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9</v>
      </c>
      <c r="B40" s="4" t="s">
        <v>51</v>
      </c>
      <c r="C40" s="4" t="s">
        <v>11</v>
      </c>
      <c r="D40" s="4">
        <v>3.0</v>
      </c>
      <c r="E40" s="4" t="s">
        <v>16</v>
      </c>
      <c r="F40" s="4" t="s">
        <v>51</v>
      </c>
      <c r="G40" s="5">
        <v>1.0</v>
      </c>
      <c r="H40" s="4">
        <v>4.12962963</v>
      </c>
      <c r="I40" s="4">
        <v>2.25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9</v>
      </c>
      <c r="B41" s="4" t="s">
        <v>52</v>
      </c>
      <c r="C41" s="4" t="s">
        <v>11</v>
      </c>
      <c r="D41" s="4">
        <v>3.0</v>
      </c>
      <c r="E41" s="4" t="s">
        <v>16</v>
      </c>
      <c r="F41" s="4" t="s">
        <v>52</v>
      </c>
      <c r="G41" s="5">
        <v>1.0</v>
      </c>
      <c r="H41" s="4">
        <v>4.564814815</v>
      </c>
      <c r="I41" s="4">
        <v>2.336538462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9</v>
      </c>
      <c r="B42" s="4" t="s">
        <v>53</v>
      </c>
      <c r="C42" s="4" t="s">
        <v>11</v>
      </c>
      <c r="D42" s="4">
        <v>3.0</v>
      </c>
      <c r="E42" s="4" t="s">
        <v>16</v>
      </c>
      <c r="F42" s="4" t="s">
        <v>53</v>
      </c>
      <c r="G42" s="5">
        <v>2.0</v>
      </c>
      <c r="H42" s="4">
        <v>5.009803922</v>
      </c>
      <c r="I42" s="4">
        <v>2.732673267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 t="s">
        <v>9</v>
      </c>
      <c r="B43" s="4" t="s">
        <v>54</v>
      </c>
      <c r="C43" s="4" t="s">
        <v>11</v>
      </c>
      <c r="D43" s="4">
        <v>1.0</v>
      </c>
      <c r="E43" s="4" t="s">
        <v>12</v>
      </c>
      <c r="F43" s="4" t="s">
        <v>54</v>
      </c>
      <c r="G43" s="5">
        <v>3.0</v>
      </c>
      <c r="H43" s="4">
        <v>2.509259259</v>
      </c>
      <c r="I43" s="4">
        <v>3.932692308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9</v>
      </c>
      <c r="B44" s="4" t="s">
        <v>55</v>
      </c>
      <c r="C44" s="4" t="s">
        <v>11</v>
      </c>
      <c r="D44" s="4">
        <v>2.0</v>
      </c>
      <c r="E44" s="4" t="s">
        <v>14</v>
      </c>
      <c r="F44" s="4" t="s">
        <v>55</v>
      </c>
      <c r="G44" s="5">
        <v>3.0</v>
      </c>
      <c r="H44" s="4">
        <v>2.901960784</v>
      </c>
      <c r="I44" s="4">
        <v>4.702970297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 t="s">
        <v>9</v>
      </c>
      <c r="B45" s="4" t="s">
        <v>56</v>
      </c>
      <c r="C45" s="4" t="s">
        <v>11</v>
      </c>
      <c r="D45" s="4">
        <v>3.0</v>
      </c>
      <c r="E45" s="4" t="s">
        <v>16</v>
      </c>
      <c r="F45" s="4" t="s">
        <v>56</v>
      </c>
      <c r="G45" s="5">
        <v>1.0</v>
      </c>
      <c r="H45" s="4">
        <v>4.754901961</v>
      </c>
      <c r="I45" s="4">
        <v>3.732673267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 t="s">
        <v>9</v>
      </c>
      <c r="B46" s="4" t="s">
        <v>57</v>
      </c>
      <c r="C46" s="4" t="s">
        <v>11</v>
      </c>
      <c r="D46" s="4">
        <v>3.0</v>
      </c>
      <c r="E46" s="4" t="s">
        <v>16</v>
      </c>
      <c r="F46" s="4" t="s">
        <v>57</v>
      </c>
      <c r="G46" s="5">
        <v>4.0</v>
      </c>
      <c r="H46" s="4">
        <v>2.098039216</v>
      </c>
      <c r="I46" s="4">
        <v>5.059405941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 t="s">
        <v>9</v>
      </c>
      <c r="B47" s="4" t="s">
        <v>58</v>
      </c>
      <c r="C47" s="4" t="s">
        <v>11</v>
      </c>
      <c r="D47" s="4">
        <v>2.0</v>
      </c>
      <c r="E47" s="4" t="s">
        <v>14</v>
      </c>
      <c r="F47" s="4" t="s">
        <v>58</v>
      </c>
      <c r="G47" s="5">
        <v>4.0</v>
      </c>
      <c r="H47" s="4">
        <v>1.392156863</v>
      </c>
      <c r="I47" s="4">
        <v>5.01980198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9</v>
      </c>
      <c r="B48" s="4" t="s">
        <v>59</v>
      </c>
      <c r="C48" s="4" t="s">
        <v>11</v>
      </c>
      <c r="D48" s="4">
        <v>3.0</v>
      </c>
      <c r="E48" s="4" t="s">
        <v>16</v>
      </c>
      <c r="F48" s="4" t="s">
        <v>59</v>
      </c>
      <c r="G48" s="5">
        <v>3.0</v>
      </c>
      <c r="H48" s="4">
        <v>1.715686275</v>
      </c>
      <c r="I48" s="4">
        <v>5.138613861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 t="s">
        <v>9</v>
      </c>
      <c r="B49" s="4" t="s">
        <v>60</v>
      </c>
      <c r="C49" s="4" t="s">
        <v>11</v>
      </c>
      <c r="D49" s="4">
        <v>3.0</v>
      </c>
      <c r="E49" s="4" t="s">
        <v>16</v>
      </c>
      <c r="F49" s="4" t="s">
        <v>60</v>
      </c>
      <c r="G49" s="4">
        <v>1.0</v>
      </c>
      <c r="H49" s="4">
        <v>4.898148148</v>
      </c>
      <c r="I49" s="4">
        <v>2.5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 t="s">
        <v>61</v>
      </c>
      <c r="B50" s="4" t="s">
        <v>10</v>
      </c>
      <c r="C50" s="4" t="s">
        <v>11</v>
      </c>
      <c r="D50" s="4">
        <v>1.0</v>
      </c>
      <c r="E50" s="4" t="s">
        <v>12</v>
      </c>
      <c r="F50" s="4" t="s">
        <v>10</v>
      </c>
      <c r="G50" s="4">
        <v>1.0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 t="s">
        <v>61</v>
      </c>
      <c r="B51" s="4" t="s">
        <v>13</v>
      </c>
      <c r="C51" s="4" t="s">
        <v>11</v>
      </c>
      <c r="D51" s="4">
        <v>1.0</v>
      </c>
      <c r="E51" s="4" t="s">
        <v>12</v>
      </c>
      <c r="F51" s="4" t="s">
        <v>13</v>
      </c>
      <c r="G51" s="4">
        <v>2.0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61</v>
      </c>
      <c r="B52" s="4" t="s">
        <v>15</v>
      </c>
      <c r="C52" s="4" t="s">
        <v>11</v>
      </c>
      <c r="D52" s="4">
        <v>3.0</v>
      </c>
      <c r="E52" s="4" t="s">
        <v>16</v>
      </c>
      <c r="F52" s="4" t="s">
        <v>15</v>
      </c>
      <c r="G52" s="4">
        <v>3.0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61</v>
      </c>
      <c r="B53" s="4" t="s">
        <v>17</v>
      </c>
      <c r="C53" s="4" t="s">
        <v>11</v>
      </c>
      <c r="D53" s="4">
        <v>2.0</v>
      </c>
      <c r="E53" s="4" t="s">
        <v>14</v>
      </c>
      <c r="F53" s="4" t="s">
        <v>17</v>
      </c>
      <c r="G53" s="4">
        <v>4.0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 t="s">
        <v>61</v>
      </c>
      <c r="B54" s="4" t="s">
        <v>18</v>
      </c>
      <c r="C54" s="4" t="s">
        <v>11</v>
      </c>
      <c r="D54" s="4">
        <v>2.0</v>
      </c>
      <c r="E54" s="4" t="s">
        <v>14</v>
      </c>
      <c r="F54" s="4" t="s">
        <v>18</v>
      </c>
      <c r="G54" s="4">
        <v>2.0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61</v>
      </c>
      <c r="B55" s="4" t="s">
        <v>19</v>
      </c>
      <c r="C55" s="4" t="s">
        <v>11</v>
      </c>
      <c r="D55" s="4">
        <v>3.0</v>
      </c>
      <c r="E55" s="4" t="s">
        <v>16</v>
      </c>
      <c r="F55" s="4" t="s">
        <v>19</v>
      </c>
      <c r="G55" s="4">
        <v>1.0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 t="s">
        <v>61</v>
      </c>
      <c r="B56" s="4" t="s">
        <v>20</v>
      </c>
      <c r="C56" s="4" t="s">
        <v>11</v>
      </c>
      <c r="D56" s="4">
        <v>2.0</v>
      </c>
      <c r="E56" s="4" t="s">
        <v>14</v>
      </c>
      <c r="F56" s="4" t="s">
        <v>20</v>
      </c>
      <c r="G56" s="4">
        <v>2.0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 t="s">
        <v>61</v>
      </c>
      <c r="B57" s="4" t="s">
        <v>21</v>
      </c>
      <c r="C57" s="4" t="s">
        <v>11</v>
      </c>
      <c r="D57" s="4">
        <v>2.0</v>
      </c>
      <c r="E57" s="4" t="s">
        <v>14</v>
      </c>
      <c r="F57" s="4" t="s">
        <v>21</v>
      </c>
      <c r="G57" s="4">
        <v>2.0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 t="s">
        <v>61</v>
      </c>
      <c r="B58" s="4" t="s">
        <v>22</v>
      </c>
      <c r="C58" s="4" t="s">
        <v>11</v>
      </c>
      <c r="D58" s="4">
        <v>3.0</v>
      </c>
      <c r="E58" s="4" t="s">
        <v>16</v>
      </c>
      <c r="F58" s="4" t="s">
        <v>22</v>
      </c>
      <c r="G58" s="4">
        <v>1.0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 t="s">
        <v>61</v>
      </c>
      <c r="B59" s="4" t="s">
        <v>23</v>
      </c>
      <c r="C59" s="4" t="s">
        <v>11</v>
      </c>
      <c r="D59" s="4">
        <v>3.0</v>
      </c>
      <c r="E59" s="4" t="s">
        <v>16</v>
      </c>
      <c r="F59" s="4" t="s">
        <v>23</v>
      </c>
      <c r="G59" s="4">
        <v>4.0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 t="s">
        <v>61</v>
      </c>
      <c r="B60" s="4" t="s">
        <v>24</v>
      </c>
      <c r="C60" s="4" t="s">
        <v>11</v>
      </c>
      <c r="D60" s="4">
        <v>3.0</v>
      </c>
      <c r="E60" s="4" t="s">
        <v>16</v>
      </c>
      <c r="F60" s="4" t="s">
        <v>24</v>
      </c>
      <c r="G60" s="4">
        <v>3.0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 t="s">
        <v>61</v>
      </c>
      <c r="B61" s="4" t="s">
        <v>25</v>
      </c>
      <c r="C61" s="4" t="s">
        <v>11</v>
      </c>
      <c r="D61" s="4">
        <v>1.0</v>
      </c>
      <c r="E61" s="4" t="s">
        <v>12</v>
      </c>
      <c r="F61" s="4" t="s">
        <v>25</v>
      </c>
      <c r="G61" s="4">
        <v>2.0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 t="s">
        <v>61</v>
      </c>
      <c r="B62" s="4" t="s">
        <v>26</v>
      </c>
      <c r="C62" s="4" t="s">
        <v>11</v>
      </c>
      <c r="D62" s="4">
        <v>3.0</v>
      </c>
      <c r="E62" s="4" t="s">
        <v>16</v>
      </c>
      <c r="F62" s="4" t="s">
        <v>26</v>
      </c>
      <c r="G62" s="4">
        <v>2.0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 t="s">
        <v>61</v>
      </c>
      <c r="B63" s="4" t="s">
        <v>27</v>
      </c>
      <c r="C63" s="4" t="s">
        <v>11</v>
      </c>
      <c r="D63" s="4">
        <v>1.0</v>
      </c>
      <c r="E63" s="4" t="s">
        <v>12</v>
      </c>
      <c r="F63" s="4" t="s">
        <v>27</v>
      </c>
      <c r="G63" s="4">
        <v>2.0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 t="s">
        <v>61</v>
      </c>
      <c r="B64" s="4" t="s">
        <v>28</v>
      </c>
      <c r="C64" s="4" t="s">
        <v>11</v>
      </c>
      <c r="D64" s="4">
        <v>3.0</v>
      </c>
      <c r="E64" s="4" t="s">
        <v>16</v>
      </c>
      <c r="F64" s="4" t="s">
        <v>28</v>
      </c>
      <c r="G64" s="4">
        <v>4.0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 t="s">
        <v>61</v>
      </c>
      <c r="B65" s="4" t="s">
        <v>62</v>
      </c>
      <c r="C65" s="4" t="s">
        <v>11</v>
      </c>
      <c r="D65" s="4">
        <v>3.0</v>
      </c>
      <c r="E65" s="4" t="s">
        <v>16</v>
      </c>
      <c r="F65" s="4" t="s">
        <v>62</v>
      </c>
      <c r="G65" s="4">
        <v>2.0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61</v>
      </c>
      <c r="B66" s="4" t="s">
        <v>29</v>
      </c>
      <c r="C66" s="4" t="s">
        <v>11</v>
      </c>
      <c r="D66" s="4">
        <v>3.0</v>
      </c>
      <c r="E66" s="4" t="s">
        <v>16</v>
      </c>
      <c r="F66" s="4" t="s">
        <v>29</v>
      </c>
      <c r="G66" s="4">
        <v>3.0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 t="s">
        <v>61</v>
      </c>
      <c r="B67" s="4" t="s">
        <v>30</v>
      </c>
      <c r="C67" s="4" t="s">
        <v>11</v>
      </c>
      <c r="D67" s="4">
        <v>3.0</v>
      </c>
      <c r="E67" s="4" t="s">
        <v>16</v>
      </c>
      <c r="F67" s="4" t="s">
        <v>30</v>
      </c>
      <c r="G67" s="4">
        <v>4.0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 t="s">
        <v>61</v>
      </c>
      <c r="B68" s="4" t="s">
        <v>31</v>
      </c>
      <c r="C68" s="4" t="s">
        <v>11</v>
      </c>
      <c r="D68" s="4">
        <v>2.0</v>
      </c>
      <c r="E68" s="4" t="s">
        <v>14</v>
      </c>
      <c r="F68" s="4" t="s">
        <v>31</v>
      </c>
      <c r="G68" s="4">
        <v>2.0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 t="s">
        <v>61</v>
      </c>
      <c r="B69" s="4" t="s">
        <v>32</v>
      </c>
      <c r="C69" s="4" t="s">
        <v>11</v>
      </c>
      <c r="D69" s="4">
        <v>3.0</v>
      </c>
      <c r="E69" s="4" t="s">
        <v>16</v>
      </c>
      <c r="F69" s="4" t="s">
        <v>32</v>
      </c>
      <c r="G69" s="4">
        <v>2.0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 t="s">
        <v>61</v>
      </c>
      <c r="B70" s="4" t="s">
        <v>33</v>
      </c>
      <c r="C70" s="4" t="s">
        <v>11</v>
      </c>
      <c r="D70" s="4">
        <v>3.0</v>
      </c>
      <c r="E70" s="4" t="s">
        <v>16</v>
      </c>
      <c r="F70" s="4" t="s">
        <v>33</v>
      </c>
      <c r="G70" s="4">
        <v>4.0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 t="s">
        <v>61</v>
      </c>
      <c r="B71" s="4" t="s">
        <v>34</v>
      </c>
      <c r="C71" s="4" t="s">
        <v>11</v>
      </c>
      <c r="D71" s="4">
        <v>1.0</v>
      </c>
      <c r="E71" s="4" t="s">
        <v>12</v>
      </c>
      <c r="F71" s="4" t="s">
        <v>34</v>
      </c>
      <c r="G71" s="4">
        <v>3.0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 t="s">
        <v>61</v>
      </c>
      <c r="B72" s="4" t="s">
        <v>35</v>
      </c>
      <c r="C72" s="4" t="s">
        <v>11</v>
      </c>
      <c r="D72" s="4">
        <v>1.0</v>
      </c>
      <c r="E72" s="4" t="s">
        <v>12</v>
      </c>
      <c r="F72" s="4" t="s">
        <v>35</v>
      </c>
      <c r="G72" s="4">
        <v>3.0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 t="s">
        <v>61</v>
      </c>
      <c r="B73" s="4" t="s">
        <v>36</v>
      </c>
      <c r="C73" s="4" t="s">
        <v>11</v>
      </c>
      <c r="D73" s="4">
        <v>1.0</v>
      </c>
      <c r="E73" s="4" t="s">
        <v>12</v>
      </c>
      <c r="F73" s="4" t="s">
        <v>36</v>
      </c>
      <c r="G73" s="4">
        <v>2.0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 t="s">
        <v>61</v>
      </c>
      <c r="B74" s="4" t="s">
        <v>37</v>
      </c>
      <c r="C74" s="4" t="s">
        <v>11</v>
      </c>
      <c r="D74" s="4">
        <v>1.0</v>
      </c>
      <c r="E74" s="4" t="s">
        <v>12</v>
      </c>
      <c r="F74" s="4" t="s">
        <v>37</v>
      </c>
      <c r="G74" s="4">
        <v>2.0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61</v>
      </c>
      <c r="B75" s="4" t="s">
        <v>38</v>
      </c>
      <c r="C75" s="4" t="s">
        <v>11</v>
      </c>
      <c r="D75" s="4">
        <v>3.0</v>
      </c>
      <c r="E75" s="4" t="s">
        <v>16</v>
      </c>
      <c r="F75" s="4" t="s">
        <v>38</v>
      </c>
      <c r="G75" s="4">
        <v>2.0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61</v>
      </c>
      <c r="B76" s="4" t="s">
        <v>39</v>
      </c>
      <c r="C76" s="4" t="s">
        <v>11</v>
      </c>
      <c r="D76" s="4">
        <v>1.0</v>
      </c>
      <c r="E76" s="4" t="s">
        <v>12</v>
      </c>
      <c r="F76" s="4" t="s">
        <v>39</v>
      </c>
      <c r="G76" s="4">
        <v>2.0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 t="s">
        <v>61</v>
      </c>
      <c r="B77" s="4" t="s">
        <v>40</v>
      </c>
      <c r="C77" s="4" t="s">
        <v>11</v>
      </c>
      <c r="D77" s="4">
        <v>2.0</v>
      </c>
      <c r="E77" s="4" t="s">
        <v>14</v>
      </c>
      <c r="F77" s="4" t="s">
        <v>40</v>
      </c>
      <c r="G77" s="4">
        <v>2.0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 t="s">
        <v>61</v>
      </c>
      <c r="B78" s="4" t="s">
        <v>41</v>
      </c>
      <c r="C78" s="4" t="s">
        <v>11</v>
      </c>
      <c r="D78" s="4">
        <v>3.0</v>
      </c>
      <c r="E78" s="4" t="s">
        <v>16</v>
      </c>
      <c r="F78" s="4" t="s">
        <v>41</v>
      </c>
      <c r="G78" s="4">
        <v>2.0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 t="s">
        <v>61</v>
      </c>
      <c r="B79" s="4" t="s">
        <v>42</v>
      </c>
      <c r="C79" s="4" t="s">
        <v>11</v>
      </c>
      <c r="D79" s="4">
        <v>3.0</v>
      </c>
      <c r="E79" s="4" t="s">
        <v>16</v>
      </c>
      <c r="F79" s="4" t="s">
        <v>42</v>
      </c>
      <c r="G79" s="4">
        <v>4.0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61</v>
      </c>
      <c r="B80" s="4" t="s">
        <v>43</v>
      </c>
      <c r="C80" s="4" t="s">
        <v>11</v>
      </c>
      <c r="D80" s="4">
        <v>3.0</v>
      </c>
      <c r="E80" s="4" t="s">
        <v>16</v>
      </c>
      <c r="F80" s="4" t="s">
        <v>43</v>
      </c>
      <c r="G80" s="4">
        <v>3.0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 t="s">
        <v>61</v>
      </c>
      <c r="B81" s="4" t="s">
        <v>44</v>
      </c>
      <c r="C81" s="4" t="s">
        <v>11</v>
      </c>
      <c r="D81" s="4">
        <v>3.0</v>
      </c>
      <c r="E81" s="4" t="s">
        <v>16</v>
      </c>
      <c r="F81" s="4" t="s">
        <v>44</v>
      </c>
      <c r="G81" s="4">
        <v>2.0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 t="s">
        <v>61</v>
      </c>
      <c r="B82" s="4" t="s">
        <v>45</v>
      </c>
      <c r="C82" s="4" t="s">
        <v>11</v>
      </c>
      <c r="D82" s="4">
        <v>1.0</v>
      </c>
      <c r="E82" s="4" t="s">
        <v>12</v>
      </c>
      <c r="F82" s="4" t="s">
        <v>45</v>
      </c>
      <c r="G82" s="4">
        <v>2.0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 t="s">
        <v>61</v>
      </c>
      <c r="B83" s="4" t="s">
        <v>46</v>
      </c>
      <c r="C83" s="4" t="s">
        <v>11</v>
      </c>
      <c r="D83" s="4">
        <v>2.0</v>
      </c>
      <c r="E83" s="4" t="s">
        <v>14</v>
      </c>
      <c r="F83" s="4" t="s">
        <v>46</v>
      </c>
      <c r="G83" s="4">
        <v>1.0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 t="s">
        <v>61</v>
      </c>
      <c r="B84" s="4" t="s">
        <v>47</v>
      </c>
      <c r="C84" s="4" t="s">
        <v>11</v>
      </c>
      <c r="D84" s="4">
        <v>3.0</v>
      </c>
      <c r="E84" s="4" t="s">
        <v>16</v>
      </c>
      <c r="F84" s="4" t="s">
        <v>47</v>
      </c>
      <c r="G84" s="4">
        <v>4.0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 t="s">
        <v>61</v>
      </c>
      <c r="B85" s="4" t="s">
        <v>49</v>
      </c>
      <c r="C85" s="4" t="s">
        <v>11</v>
      </c>
      <c r="D85" s="4">
        <v>1.0</v>
      </c>
      <c r="E85" s="4" t="s">
        <v>12</v>
      </c>
      <c r="F85" s="4" t="s">
        <v>49</v>
      </c>
      <c r="G85" s="4">
        <v>3.0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 t="s">
        <v>61</v>
      </c>
      <c r="B86" s="4" t="s">
        <v>50</v>
      </c>
      <c r="C86" s="4" t="s">
        <v>11</v>
      </c>
      <c r="D86" s="4">
        <v>2.0</v>
      </c>
      <c r="E86" s="4" t="s">
        <v>14</v>
      </c>
      <c r="F86" s="4" t="s">
        <v>50</v>
      </c>
      <c r="G86" s="4">
        <v>2.0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61</v>
      </c>
      <c r="B87" s="4" t="s">
        <v>51</v>
      </c>
      <c r="C87" s="4" t="s">
        <v>11</v>
      </c>
      <c r="D87" s="4">
        <v>3.0</v>
      </c>
      <c r="E87" s="4" t="s">
        <v>16</v>
      </c>
      <c r="F87" s="4" t="s">
        <v>51</v>
      </c>
      <c r="G87" s="4">
        <v>1.0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61</v>
      </c>
      <c r="B88" s="4" t="s">
        <v>52</v>
      </c>
      <c r="C88" s="4" t="s">
        <v>11</v>
      </c>
      <c r="D88" s="4">
        <v>3.0</v>
      </c>
      <c r="E88" s="4" t="s">
        <v>16</v>
      </c>
      <c r="F88" s="4" t="s">
        <v>52</v>
      </c>
      <c r="G88" s="4">
        <v>1.0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 t="s">
        <v>61</v>
      </c>
      <c r="B89" s="4" t="s">
        <v>53</v>
      </c>
      <c r="C89" s="4" t="s">
        <v>11</v>
      </c>
      <c r="D89" s="4">
        <v>3.0</v>
      </c>
      <c r="E89" s="4" t="s">
        <v>16</v>
      </c>
      <c r="F89" s="4" t="s">
        <v>53</v>
      </c>
      <c r="G89" s="4">
        <v>1.0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 t="s">
        <v>61</v>
      </c>
      <c r="B90" s="4" t="s">
        <v>54</v>
      </c>
      <c r="C90" s="4" t="s">
        <v>11</v>
      </c>
      <c r="D90" s="4">
        <v>3.0</v>
      </c>
      <c r="E90" s="4" t="s">
        <v>16</v>
      </c>
      <c r="F90" s="4" t="s">
        <v>54</v>
      </c>
      <c r="G90" s="4">
        <v>3.0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 t="s">
        <v>61</v>
      </c>
      <c r="B91" s="4" t="s">
        <v>55</v>
      </c>
      <c r="C91" s="4" t="s">
        <v>11</v>
      </c>
      <c r="D91" s="4">
        <v>3.0</v>
      </c>
      <c r="E91" s="4" t="s">
        <v>16</v>
      </c>
      <c r="F91" s="4" t="s">
        <v>55</v>
      </c>
      <c r="G91" s="4">
        <v>3.0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 t="s">
        <v>61</v>
      </c>
      <c r="B92" s="4" t="s">
        <v>56</v>
      </c>
      <c r="C92" s="4" t="s">
        <v>11</v>
      </c>
      <c r="D92" s="4">
        <v>3.0</v>
      </c>
      <c r="E92" s="4" t="s">
        <v>16</v>
      </c>
      <c r="F92" s="4" t="s">
        <v>56</v>
      </c>
      <c r="G92" s="4">
        <v>2.0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 t="s">
        <v>61</v>
      </c>
      <c r="B93" s="4" t="s">
        <v>57</v>
      </c>
      <c r="C93" s="4" t="s">
        <v>11</v>
      </c>
      <c r="D93" s="4">
        <v>1.0</v>
      </c>
      <c r="E93" s="4" t="s">
        <v>12</v>
      </c>
      <c r="F93" s="4" t="s">
        <v>57</v>
      </c>
      <c r="G93" s="4">
        <v>4.0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 t="s">
        <v>61</v>
      </c>
      <c r="B94" s="4" t="s">
        <v>58</v>
      </c>
      <c r="C94" s="4" t="s">
        <v>11</v>
      </c>
      <c r="D94" s="4">
        <v>3.0</v>
      </c>
      <c r="E94" s="4" t="s">
        <v>16</v>
      </c>
      <c r="F94" s="4" t="s">
        <v>58</v>
      </c>
      <c r="G94" s="4">
        <v>4.0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 t="s">
        <v>61</v>
      </c>
      <c r="B95" s="4" t="s">
        <v>59</v>
      </c>
      <c r="C95" s="4" t="s">
        <v>11</v>
      </c>
      <c r="D95" s="4">
        <v>3.0</v>
      </c>
      <c r="E95" s="4" t="s">
        <v>16</v>
      </c>
      <c r="F95" s="4" t="s">
        <v>59</v>
      </c>
      <c r="G95" s="4">
        <v>3.0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 t="s">
        <v>61</v>
      </c>
      <c r="B96" s="4" t="s">
        <v>60</v>
      </c>
      <c r="C96" s="4" t="s">
        <v>11</v>
      </c>
      <c r="D96" s="4">
        <v>1.0</v>
      </c>
      <c r="E96" s="4" t="s">
        <v>12</v>
      </c>
      <c r="F96" s="4" t="s">
        <v>60</v>
      </c>
      <c r="G96" s="4">
        <v>2.0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 t="s">
        <v>63</v>
      </c>
      <c r="B97" s="4" t="s">
        <v>10</v>
      </c>
      <c r="C97" s="4" t="s">
        <v>11</v>
      </c>
      <c r="D97" s="4">
        <v>3.0</v>
      </c>
      <c r="E97" s="4" t="s">
        <v>16</v>
      </c>
      <c r="F97" s="4" t="s">
        <v>10</v>
      </c>
      <c r="G97" s="4">
        <v>1.0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 t="s">
        <v>63</v>
      </c>
      <c r="B98" s="4" t="s">
        <v>13</v>
      </c>
      <c r="C98" s="4" t="s">
        <v>11</v>
      </c>
      <c r="D98" s="4">
        <v>3.0</v>
      </c>
      <c r="E98" s="4" t="s">
        <v>16</v>
      </c>
      <c r="F98" s="4" t="s">
        <v>13</v>
      </c>
      <c r="G98" s="4">
        <v>4.0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 t="s">
        <v>63</v>
      </c>
      <c r="B99" s="4" t="s">
        <v>15</v>
      </c>
      <c r="C99" s="4" t="s">
        <v>11</v>
      </c>
      <c r="D99" s="4">
        <v>1.0</v>
      </c>
      <c r="E99" s="4" t="s">
        <v>12</v>
      </c>
      <c r="F99" s="4" t="s">
        <v>15</v>
      </c>
      <c r="G99" s="4">
        <v>3.0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63</v>
      </c>
      <c r="B100" s="4" t="s">
        <v>17</v>
      </c>
      <c r="C100" s="4" t="s">
        <v>11</v>
      </c>
      <c r="D100" s="4">
        <v>3.0</v>
      </c>
      <c r="E100" s="4" t="s">
        <v>16</v>
      </c>
      <c r="F100" s="4" t="s">
        <v>17</v>
      </c>
      <c r="G100" s="4">
        <v>3.0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 t="s">
        <v>63</v>
      </c>
      <c r="B101" s="4" t="s">
        <v>18</v>
      </c>
      <c r="C101" s="4" t="s">
        <v>11</v>
      </c>
      <c r="D101" s="4">
        <v>2.0</v>
      </c>
      <c r="E101" s="4" t="s">
        <v>14</v>
      </c>
      <c r="F101" s="4" t="s">
        <v>18</v>
      </c>
      <c r="G101" s="4">
        <v>2.0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 t="s">
        <v>63</v>
      </c>
      <c r="B102" s="4" t="s">
        <v>19</v>
      </c>
      <c r="C102" s="4" t="s">
        <v>11</v>
      </c>
      <c r="D102" s="4">
        <v>1.0</v>
      </c>
      <c r="E102" s="4" t="s">
        <v>12</v>
      </c>
      <c r="F102" s="4" t="s">
        <v>19</v>
      </c>
      <c r="G102" s="4">
        <v>1.0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63</v>
      </c>
      <c r="B103" s="4" t="s">
        <v>20</v>
      </c>
      <c r="C103" s="4" t="s">
        <v>11</v>
      </c>
      <c r="D103" s="4">
        <v>1.0</v>
      </c>
      <c r="E103" s="4" t="s">
        <v>12</v>
      </c>
      <c r="F103" s="4" t="s">
        <v>20</v>
      </c>
      <c r="G103" s="4">
        <v>3.0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63</v>
      </c>
      <c r="B104" s="4" t="s">
        <v>21</v>
      </c>
      <c r="C104" s="4" t="s">
        <v>11</v>
      </c>
      <c r="D104" s="4">
        <v>2.0</v>
      </c>
      <c r="E104" s="4" t="s">
        <v>14</v>
      </c>
      <c r="F104" s="4" t="s">
        <v>21</v>
      </c>
      <c r="G104" s="4">
        <v>4.0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 t="s">
        <v>63</v>
      </c>
      <c r="B105" s="4" t="s">
        <v>22</v>
      </c>
      <c r="C105" s="4" t="s">
        <v>11</v>
      </c>
      <c r="D105" s="4">
        <v>3.0</v>
      </c>
      <c r="E105" s="4" t="s">
        <v>16</v>
      </c>
      <c r="F105" s="4" t="s">
        <v>22</v>
      </c>
      <c r="G105" s="4">
        <v>2.0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63</v>
      </c>
      <c r="B106" s="4" t="s">
        <v>23</v>
      </c>
      <c r="C106" s="4" t="s">
        <v>11</v>
      </c>
      <c r="D106" s="4">
        <v>2.0</v>
      </c>
      <c r="E106" s="4" t="s">
        <v>14</v>
      </c>
      <c r="F106" s="4" t="s">
        <v>23</v>
      </c>
      <c r="G106" s="4">
        <v>3.0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 t="s">
        <v>63</v>
      </c>
      <c r="B107" s="4" t="s">
        <v>24</v>
      </c>
      <c r="C107" s="4" t="s">
        <v>11</v>
      </c>
      <c r="D107" s="4">
        <v>3.0</v>
      </c>
      <c r="E107" s="4" t="s">
        <v>16</v>
      </c>
      <c r="F107" s="4" t="s">
        <v>24</v>
      </c>
      <c r="G107" s="4">
        <v>3.0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 t="s">
        <v>63</v>
      </c>
      <c r="B108" s="4" t="s">
        <v>25</v>
      </c>
      <c r="C108" s="4" t="s">
        <v>11</v>
      </c>
      <c r="D108" s="4">
        <v>1.0</v>
      </c>
      <c r="E108" s="4" t="s">
        <v>12</v>
      </c>
      <c r="F108" s="4" t="s">
        <v>25</v>
      </c>
      <c r="G108" s="4">
        <v>3.0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 t="s">
        <v>63</v>
      </c>
      <c r="B109" s="4" t="s">
        <v>26</v>
      </c>
      <c r="C109" s="4" t="s">
        <v>11</v>
      </c>
      <c r="D109" s="4">
        <v>1.0</v>
      </c>
      <c r="E109" s="4" t="s">
        <v>12</v>
      </c>
      <c r="F109" s="4" t="s">
        <v>26</v>
      </c>
      <c r="G109" s="4">
        <v>2.0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 t="s">
        <v>63</v>
      </c>
      <c r="B110" s="4" t="s">
        <v>27</v>
      </c>
      <c r="C110" s="4" t="s">
        <v>11</v>
      </c>
      <c r="D110" s="4">
        <v>1.0</v>
      </c>
      <c r="E110" s="4" t="s">
        <v>12</v>
      </c>
      <c r="F110" s="4" t="s">
        <v>27</v>
      </c>
      <c r="G110" s="4">
        <v>2.0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 t="s">
        <v>63</v>
      </c>
      <c r="B111" s="4" t="s">
        <v>28</v>
      </c>
      <c r="C111" s="4" t="s">
        <v>11</v>
      </c>
      <c r="D111" s="4">
        <v>3.0</v>
      </c>
      <c r="E111" s="4" t="s">
        <v>16</v>
      </c>
      <c r="F111" s="4" t="s">
        <v>28</v>
      </c>
      <c r="G111" s="4">
        <v>4.0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63</v>
      </c>
      <c r="B112" s="4" t="s">
        <v>62</v>
      </c>
      <c r="C112" s="4" t="s">
        <v>11</v>
      </c>
      <c r="D112" s="4">
        <v>3.0</v>
      </c>
      <c r="E112" s="4" t="s">
        <v>16</v>
      </c>
      <c r="F112" s="4" t="s">
        <v>62</v>
      </c>
      <c r="G112" s="4">
        <v>2.0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 t="s">
        <v>63</v>
      </c>
      <c r="B113" s="4" t="s">
        <v>29</v>
      </c>
      <c r="C113" s="4" t="s">
        <v>11</v>
      </c>
      <c r="D113" s="4">
        <v>3.0</v>
      </c>
      <c r="E113" s="4" t="s">
        <v>16</v>
      </c>
      <c r="F113" s="4" t="s">
        <v>29</v>
      </c>
      <c r="G113" s="4">
        <v>4.0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63</v>
      </c>
      <c r="B114" s="4" t="s">
        <v>30</v>
      </c>
      <c r="C114" s="4" t="s">
        <v>11</v>
      </c>
      <c r="D114" s="4">
        <v>2.0</v>
      </c>
      <c r="E114" s="4" t="s">
        <v>14</v>
      </c>
      <c r="F114" s="4" t="s">
        <v>30</v>
      </c>
      <c r="G114" s="4">
        <v>2.0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63</v>
      </c>
      <c r="B115" s="4" t="s">
        <v>31</v>
      </c>
      <c r="C115" s="4" t="s">
        <v>11</v>
      </c>
      <c r="D115" s="4">
        <v>1.0</v>
      </c>
      <c r="E115" s="4" t="s">
        <v>12</v>
      </c>
      <c r="F115" s="4" t="s">
        <v>31</v>
      </c>
      <c r="G115" s="4">
        <v>3.0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 t="s">
        <v>63</v>
      </c>
      <c r="B116" s="4" t="s">
        <v>32</v>
      </c>
      <c r="C116" s="4" t="s">
        <v>11</v>
      </c>
      <c r="D116" s="4">
        <v>3.0</v>
      </c>
      <c r="E116" s="4" t="s">
        <v>16</v>
      </c>
      <c r="F116" s="4" t="s">
        <v>32</v>
      </c>
      <c r="G116" s="4">
        <v>3.0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 t="s">
        <v>63</v>
      </c>
      <c r="B117" s="4" t="s">
        <v>33</v>
      </c>
      <c r="C117" s="4" t="s">
        <v>11</v>
      </c>
      <c r="D117" s="4">
        <v>3.0</v>
      </c>
      <c r="E117" s="4" t="s">
        <v>16</v>
      </c>
      <c r="F117" s="4" t="s">
        <v>33</v>
      </c>
      <c r="G117" s="4">
        <v>4.0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 t="s">
        <v>63</v>
      </c>
      <c r="B118" s="4" t="s">
        <v>34</v>
      </c>
      <c r="C118" s="4" t="s">
        <v>11</v>
      </c>
      <c r="D118" s="4">
        <v>2.0</v>
      </c>
      <c r="E118" s="4" t="s">
        <v>14</v>
      </c>
      <c r="F118" s="4" t="s">
        <v>34</v>
      </c>
      <c r="G118" s="4">
        <v>3.0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 t="s">
        <v>63</v>
      </c>
      <c r="B119" s="4" t="s">
        <v>35</v>
      </c>
      <c r="C119" s="4" t="s">
        <v>11</v>
      </c>
      <c r="D119" s="4">
        <v>1.0</v>
      </c>
      <c r="E119" s="4" t="s">
        <v>12</v>
      </c>
      <c r="F119" s="4" t="s">
        <v>35</v>
      </c>
      <c r="G119" s="4">
        <v>4.0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 t="s">
        <v>63</v>
      </c>
      <c r="B120" s="4" t="s">
        <v>36</v>
      </c>
      <c r="C120" s="4" t="s">
        <v>11</v>
      </c>
      <c r="D120" s="4">
        <v>2.0</v>
      </c>
      <c r="E120" s="4" t="s">
        <v>14</v>
      </c>
      <c r="F120" s="4" t="s">
        <v>36</v>
      </c>
      <c r="G120" s="4">
        <v>4.0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 t="s">
        <v>63</v>
      </c>
      <c r="B121" s="4" t="s">
        <v>37</v>
      </c>
      <c r="C121" s="4" t="s">
        <v>11</v>
      </c>
      <c r="D121" s="4">
        <v>1.0</v>
      </c>
      <c r="E121" s="4" t="s">
        <v>12</v>
      </c>
      <c r="F121" s="4" t="s">
        <v>37</v>
      </c>
      <c r="G121" s="4">
        <v>3.0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 t="s">
        <v>63</v>
      </c>
      <c r="B122" s="4" t="s">
        <v>38</v>
      </c>
      <c r="C122" s="4" t="s">
        <v>11</v>
      </c>
      <c r="D122" s="4">
        <v>3.0</v>
      </c>
      <c r="E122" s="4" t="s">
        <v>16</v>
      </c>
      <c r="F122" s="4" t="s">
        <v>38</v>
      </c>
      <c r="G122" s="4">
        <v>2.0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 t="s">
        <v>63</v>
      </c>
      <c r="B123" s="4" t="s">
        <v>39</v>
      </c>
      <c r="C123" s="4" t="s">
        <v>11</v>
      </c>
      <c r="D123" s="4">
        <v>2.0</v>
      </c>
      <c r="E123" s="4" t="s">
        <v>14</v>
      </c>
      <c r="F123" s="4" t="s">
        <v>39</v>
      </c>
      <c r="G123" s="4">
        <v>1.0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63</v>
      </c>
      <c r="B124" s="4" t="s">
        <v>40</v>
      </c>
      <c r="C124" s="4" t="s">
        <v>11</v>
      </c>
      <c r="D124" s="4">
        <v>3.0</v>
      </c>
      <c r="E124" s="4" t="s">
        <v>16</v>
      </c>
      <c r="F124" s="4" t="s">
        <v>40</v>
      </c>
      <c r="G124" s="4">
        <v>3.0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 t="s">
        <v>63</v>
      </c>
      <c r="B125" s="4" t="s">
        <v>41</v>
      </c>
      <c r="C125" s="4" t="s">
        <v>11</v>
      </c>
      <c r="D125" s="4">
        <v>3.0</v>
      </c>
      <c r="E125" s="4" t="s">
        <v>16</v>
      </c>
      <c r="F125" s="4" t="s">
        <v>41</v>
      </c>
      <c r="G125" s="4">
        <v>4.0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 t="s">
        <v>63</v>
      </c>
      <c r="B126" s="4" t="s">
        <v>42</v>
      </c>
      <c r="C126" s="4" t="s">
        <v>11</v>
      </c>
      <c r="D126" s="4">
        <v>3.0</v>
      </c>
      <c r="E126" s="4" t="s">
        <v>16</v>
      </c>
      <c r="F126" s="4" t="s">
        <v>42</v>
      </c>
      <c r="G126" s="4">
        <v>1.0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 t="s">
        <v>63</v>
      </c>
      <c r="B127" s="4" t="s">
        <v>43</v>
      </c>
      <c r="C127" s="4" t="s">
        <v>11</v>
      </c>
      <c r="D127" s="4">
        <v>3.0</v>
      </c>
      <c r="E127" s="4" t="s">
        <v>16</v>
      </c>
      <c r="F127" s="4" t="s">
        <v>43</v>
      </c>
      <c r="G127" s="4">
        <v>2.0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 t="s">
        <v>63</v>
      </c>
      <c r="B128" s="4" t="s">
        <v>44</v>
      </c>
      <c r="C128" s="4" t="s">
        <v>11</v>
      </c>
      <c r="D128" s="4">
        <v>3.0</v>
      </c>
      <c r="E128" s="4" t="s">
        <v>16</v>
      </c>
      <c r="F128" s="4" t="s">
        <v>44</v>
      </c>
      <c r="G128" s="4">
        <v>2.0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 t="s">
        <v>63</v>
      </c>
      <c r="B129" s="4" t="s">
        <v>45</v>
      </c>
      <c r="C129" s="4" t="s">
        <v>11</v>
      </c>
      <c r="D129" s="4">
        <v>3.0</v>
      </c>
      <c r="E129" s="4" t="s">
        <v>16</v>
      </c>
      <c r="F129" s="4" t="s">
        <v>45</v>
      </c>
      <c r="G129" s="4">
        <v>4.0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63</v>
      </c>
      <c r="B130" s="4" t="s">
        <v>46</v>
      </c>
      <c r="C130" s="4" t="s">
        <v>11</v>
      </c>
      <c r="D130" s="4">
        <v>2.0</v>
      </c>
      <c r="E130" s="4" t="s">
        <v>14</v>
      </c>
      <c r="F130" s="4" t="s">
        <v>46</v>
      </c>
      <c r="G130" s="4">
        <v>2.0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 t="s">
        <v>63</v>
      </c>
      <c r="B131" s="4" t="s">
        <v>47</v>
      </c>
      <c r="C131" s="4" t="s">
        <v>11</v>
      </c>
      <c r="D131" s="4">
        <v>3.0</v>
      </c>
      <c r="E131" s="4" t="s">
        <v>16</v>
      </c>
      <c r="F131" s="4" t="s">
        <v>47</v>
      </c>
      <c r="G131" s="4">
        <v>4.0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 t="s">
        <v>63</v>
      </c>
      <c r="B132" s="4" t="s">
        <v>48</v>
      </c>
      <c r="C132" s="4" t="s">
        <v>11</v>
      </c>
      <c r="D132" s="4">
        <v>1.0</v>
      </c>
      <c r="E132" s="4" t="s">
        <v>12</v>
      </c>
      <c r="F132" s="4" t="s">
        <v>48</v>
      </c>
      <c r="G132" s="4">
        <v>3.0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 t="s">
        <v>63</v>
      </c>
      <c r="B133" s="4" t="s">
        <v>49</v>
      </c>
      <c r="C133" s="4" t="s">
        <v>11</v>
      </c>
      <c r="D133" s="4">
        <v>3.0</v>
      </c>
      <c r="E133" s="4" t="s">
        <v>16</v>
      </c>
      <c r="F133" s="4" t="s">
        <v>49</v>
      </c>
      <c r="G133" s="4">
        <v>3.0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 t="s">
        <v>63</v>
      </c>
      <c r="B134" s="4" t="s">
        <v>50</v>
      </c>
      <c r="C134" s="4" t="s">
        <v>11</v>
      </c>
      <c r="D134" s="4">
        <v>3.0</v>
      </c>
      <c r="E134" s="4" t="s">
        <v>16</v>
      </c>
      <c r="F134" s="4" t="s">
        <v>50</v>
      </c>
      <c r="G134" s="4">
        <v>1.0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 t="s">
        <v>63</v>
      </c>
      <c r="B135" s="4" t="s">
        <v>51</v>
      </c>
      <c r="C135" s="4" t="s">
        <v>11</v>
      </c>
      <c r="D135" s="4">
        <v>1.0</v>
      </c>
      <c r="E135" s="4" t="s">
        <v>12</v>
      </c>
      <c r="F135" s="4" t="s">
        <v>51</v>
      </c>
      <c r="G135" s="4">
        <v>1.0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 t="s">
        <v>63</v>
      </c>
      <c r="B136" s="4" t="s">
        <v>52</v>
      </c>
      <c r="C136" s="4" t="s">
        <v>11</v>
      </c>
      <c r="D136" s="4">
        <v>1.0</v>
      </c>
      <c r="E136" s="4" t="s">
        <v>12</v>
      </c>
      <c r="F136" s="4" t="s">
        <v>52</v>
      </c>
      <c r="G136" s="4">
        <v>2.0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63</v>
      </c>
      <c r="B137" s="4" t="s">
        <v>53</v>
      </c>
      <c r="C137" s="4" t="s">
        <v>11</v>
      </c>
      <c r="D137" s="4">
        <v>3.0</v>
      </c>
      <c r="E137" s="4" t="s">
        <v>16</v>
      </c>
      <c r="F137" s="4" t="s">
        <v>53</v>
      </c>
      <c r="G137" s="4">
        <v>2.0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 t="s">
        <v>63</v>
      </c>
      <c r="B138" s="4" t="s">
        <v>54</v>
      </c>
      <c r="C138" s="4" t="s">
        <v>11</v>
      </c>
      <c r="D138" s="4">
        <v>3.0</v>
      </c>
      <c r="E138" s="4" t="s">
        <v>16</v>
      </c>
      <c r="F138" s="4" t="s">
        <v>54</v>
      </c>
      <c r="G138" s="4">
        <v>2.0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 t="s">
        <v>63</v>
      </c>
      <c r="B139" s="4" t="s">
        <v>55</v>
      </c>
      <c r="C139" s="4" t="s">
        <v>11</v>
      </c>
      <c r="D139" s="4">
        <v>3.0</v>
      </c>
      <c r="E139" s="4" t="s">
        <v>16</v>
      </c>
      <c r="F139" s="4" t="s">
        <v>55</v>
      </c>
      <c r="G139" s="4">
        <v>1.0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 t="s">
        <v>63</v>
      </c>
      <c r="B140" s="4" t="s">
        <v>56</v>
      </c>
      <c r="C140" s="4" t="s">
        <v>11</v>
      </c>
      <c r="D140" s="4">
        <v>1.0</v>
      </c>
      <c r="E140" s="4" t="s">
        <v>12</v>
      </c>
      <c r="F140" s="4" t="s">
        <v>56</v>
      </c>
      <c r="G140" s="4">
        <v>3.0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 t="s">
        <v>63</v>
      </c>
      <c r="B141" s="4" t="s">
        <v>57</v>
      </c>
      <c r="C141" s="4" t="s">
        <v>11</v>
      </c>
      <c r="D141" s="4">
        <v>3.0</v>
      </c>
      <c r="E141" s="4" t="s">
        <v>16</v>
      </c>
      <c r="F141" s="4" t="s">
        <v>57</v>
      </c>
      <c r="G141" s="4">
        <v>3.0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63</v>
      </c>
      <c r="B142" s="4" t="s">
        <v>58</v>
      </c>
      <c r="C142" s="4" t="s">
        <v>11</v>
      </c>
      <c r="D142" s="4">
        <v>3.0</v>
      </c>
      <c r="E142" s="4" t="s">
        <v>16</v>
      </c>
      <c r="F142" s="4" t="s">
        <v>58</v>
      </c>
      <c r="G142" s="4">
        <v>3.0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 t="s">
        <v>63</v>
      </c>
      <c r="B143" s="4" t="s">
        <v>59</v>
      </c>
      <c r="C143" s="4" t="s">
        <v>11</v>
      </c>
      <c r="D143" s="4">
        <v>2.0</v>
      </c>
      <c r="E143" s="4" t="s">
        <v>14</v>
      </c>
      <c r="F143" s="4" t="s">
        <v>59</v>
      </c>
      <c r="G143" s="4">
        <v>3.0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 t="s">
        <v>63</v>
      </c>
      <c r="B144" s="4" t="s">
        <v>60</v>
      </c>
      <c r="C144" s="4" t="s">
        <v>11</v>
      </c>
      <c r="D144" s="4">
        <v>2.0</v>
      </c>
      <c r="E144" s="4" t="s">
        <v>14</v>
      </c>
      <c r="F144" s="4" t="s">
        <v>60</v>
      </c>
      <c r="G144" s="4">
        <v>3.0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64</v>
      </c>
      <c r="B145" s="4" t="s">
        <v>10</v>
      </c>
      <c r="C145" s="4" t="s">
        <v>11</v>
      </c>
      <c r="D145" s="4">
        <v>3.0</v>
      </c>
      <c r="E145" s="4" t="s">
        <v>16</v>
      </c>
      <c r="F145" s="4" t="s">
        <v>10</v>
      </c>
      <c r="G145" s="4">
        <v>1.0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 t="s">
        <v>64</v>
      </c>
      <c r="B146" s="4" t="s">
        <v>13</v>
      </c>
      <c r="C146" s="4" t="s">
        <v>11</v>
      </c>
      <c r="D146" s="4">
        <v>3.0</v>
      </c>
      <c r="E146" s="4" t="s">
        <v>16</v>
      </c>
      <c r="F146" s="4" t="s">
        <v>13</v>
      </c>
      <c r="G146" s="4">
        <v>1.0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 t="s">
        <v>64</v>
      </c>
      <c r="B147" s="4" t="s">
        <v>15</v>
      </c>
      <c r="C147" s="4" t="s">
        <v>11</v>
      </c>
      <c r="D147" s="4">
        <v>1.0</v>
      </c>
      <c r="E147" s="4" t="s">
        <v>12</v>
      </c>
      <c r="F147" s="4" t="s">
        <v>15</v>
      </c>
      <c r="G147" s="4">
        <v>3.0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 t="s">
        <v>64</v>
      </c>
      <c r="B148" s="4" t="s">
        <v>17</v>
      </c>
      <c r="C148" s="4" t="s">
        <v>11</v>
      </c>
      <c r="D148" s="4">
        <v>1.0</v>
      </c>
      <c r="E148" s="4" t="s">
        <v>12</v>
      </c>
      <c r="F148" s="4" t="s">
        <v>17</v>
      </c>
      <c r="G148" s="4">
        <v>4.0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 t="s">
        <v>64</v>
      </c>
      <c r="B149" s="4" t="s">
        <v>18</v>
      </c>
      <c r="C149" s="4" t="s">
        <v>11</v>
      </c>
      <c r="D149" s="4">
        <v>2.0</v>
      </c>
      <c r="E149" s="4" t="s">
        <v>14</v>
      </c>
      <c r="F149" s="4" t="s">
        <v>18</v>
      </c>
      <c r="G149" s="4">
        <v>1.0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 t="s">
        <v>64</v>
      </c>
      <c r="B150" s="4" t="s">
        <v>19</v>
      </c>
      <c r="C150" s="4" t="s">
        <v>11</v>
      </c>
      <c r="D150" s="4">
        <v>2.0</v>
      </c>
      <c r="E150" s="4" t="s">
        <v>14</v>
      </c>
      <c r="F150" s="4" t="s">
        <v>19</v>
      </c>
      <c r="G150" s="4">
        <v>1.0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64</v>
      </c>
      <c r="B151" s="4" t="s">
        <v>20</v>
      </c>
      <c r="C151" s="4" t="s">
        <v>11</v>
      </c>
      <c r="D151" s="4">
        <v>3.0</v>
      </c>
      <c r="E151" s="4" t="s">
        <v>16</v>
      </c>
      <c r="F151" s="4" t="s">
        <v>20</v>
      </c>
      <c r="G151" s="4">
        <v>1.0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 t="s">
        <v>64</v>
      </c>
      <c r="B152" s="4" t="s">
        <v>21</v>
      </c>
      <c r="C152" s="4" t="s">
        <v>11</v>
      </c>
      <c r="D152" s="4">
        <v>3.0</v>
      </c>
      <c r="E152" s="4" t="s">
        <v>16</v>
      </c>
      <c r="F152" s="4" t="s">
        <v>21</v>
      </c>
      <c r="G152" s="4">
        <v>2.0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 t="s">
        <v>64</v>
      </c>
      <c r="B153" s="4" t="s">
        <v>22</v>
      </c>
      <c r="C153" s="4" t="s">
        <v>11</v>
      </c>
      <c r="D153" s="4">
        <v>2.0</v>
      </c>
      <c r="E153" s="4" t="s">
        <v>14</v>
      </c>
      <c r="F153" s="4" t="s">
        <v>22</v>
      </c>
      <c r="G153" s="4">
        <v>1.0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64</v>
      </c>
      <c r="B154" s="4" t="s">
        <v>23</v>
      </c>
      <c r="C154" s="4" t="s">
        <v>11</v>
      </c>
      <c r="D154" s="4">
        <v>2.0</v>
      </c>
      <c r="E154" s="4" t="s">
        <v>14</v>
      </c>
      <c r="F154" s="4" t="s">
        <v>23</v>
      </c>
      <c r="G154" s="4">
        <v>4.0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 t="s">
        <v>64</v>
      </c>
      <c r="B155" s="4" t="s">
        <v>24</v>
      </c>
      <c r="C155" s="4" t="s">
        <v>11</v>
      </c>
      <c r="D155" s="4">
        <v>3.0</v>
      </c>
      <c r="E155" s="4" t="s">
        <v>16</v>
      </c>
      <c r="F155" s="4" t="s">
        <v>24</v>
      </c>
      <c r="G155" s="4">
        <v>4.0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 t="s">
        <v>64</v>
      </c>
      <c r="B156" s="4" t="s">
        <v>25</v>
      </c>
      <c r="C156" s="4" t="s">
        <v>11</v>
      </c>
      <c r="D156" s="4">
        <v>2.0</v>
      </c>
      <c r="E156" s="4" t="s">
        <v>14</v>
      </c>
      <c r="F156" s="4" t="s">
        <v>25</v>
      </c>
      <c r="G156" s="4">
        <v>2.0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 t="s">
        <v>64</v>
      </c>
      <c r="B157" s="4" t="s">
        <v>26</v>
      </c>
      <c r="C157" s="4" t="s">
        <v>11</v>
      </c>
      <c r="D157" s="4">
        <v>3.0</v>
      </c>
      <c r="E157" s="4" t="s">
        <v>16</v>
      </c>
      <c r="F157" s="4" t="s">
        <v>26</v>
      </c>
      <c r="G157" s="4">
        <v>1.0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64</v>
      </c>
      <c r="B158" s="4" t="s">
        <v>27</v>
      </c>
      <c r="C158" s="4" t="s">
        <v>11</v>
      </c>
      <c r="D158" s="4">
        <v>3.0</v>
      </c>
      <c r="E158" s="4" t="s">
        <v>16</v>
      </c>
      <c r="F158" s="4" t="s">
        <v>27</v>
      </c>
      <c r="G158" s="4">
        <v>3.0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 t="s">
        <v>64</v>
      </c>
      <c r="B159" s="4" t="s">
        <v>28</v>
      </c>
      <c r="C159" s="4" t="s">
        <v>11</v>
      </c>
      <c r="D159" s="4">
        <v>2.0</v>
      </c>
      <c r="E159" s="4" t="s">
        <v>14</v>
      </c>
      <c r="F159" s="4" t="s">
        <v>28</v>
      </c>
      <c r="G159" s="4">
        <v>4.0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 t="s">
        <v>64</v>
      </c>
      <c r="B160" s="4" t="s">
        <v>62</v>
      </c>
      <c r="C160" s="4" t="s">
        <v>11</v>
      </c>
      <c r="D160" s="4">
        <v>2.0</v>
      </c>
      <c r="E160" s="4" t="s">
        <v>14</v>
      </c>
      <c r="F160" s="4" t="s">
        <v>62</v>
      </c>
      <c r="G160" s="4">
        <v>2.0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 t="s">
        <v>64</v>
      </c>
      <c r="B161" s="4" t="s">
        <v>29</v>
      </c>
      <c r="C161" s="4" t="s">
        <v>11</v>
      </c>
      <c r="D161" s="4">
        <v>2.0</v>
      </c>
      <c r="E161" s="4" t="s">
        <v>14</v>
      </c>
      <c r="F161" s="4" t="s">
        <v>29</v>
      </c>
      <c r="G161" s="4">
        <v>1.0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 t="s">
        <v>64</v>
      </c>
      <c r="B162" s="4" t="s">
        <v>30</v>
      </c>
      <c r="C162" s="4" t="s">
        <v>11</v>
      </c>
      <c r="D162" s="4">
        <v>1.0</v>
      </c>
      <c r="E162" s="4" t="s">
        <v>12</v>
      </c>
      <c r="F162" s="4" t="s">
        <v>30</v>
      </c>
      <c r="G162" s="4">
        <v>2.0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 t="s">
        <v>64</v>
      </c>
      <c r="B163" s="4" t="s">
        <v>31</v>
      </c>
      <c r="C163" s="4" t="s">
        <v>11</v>
      </c>
      <c r="D163" s="4">
        <v>1.0</v>
      </c>
      <c r="E163" s="4" t="s">
        <v>12</v>
      </c>
      <c r="F163" s="4" t="s">
        <v>31</v>
      </c>
      <c r="G163" s="4">
        <v>2.0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 t="s">
        <v>64</v>
      </c>
      <c r="B164" s="4" t="s">
        <v>32</v>
      </c>
      <c r="C164" s="4" t="s">
        <v>11</v>
      </c>
      <c r="D164" s="4">
        <v>3.0</v>
      </c>
      <c r="E164" s="4" t="s">
        <v>16</v>
      </c>
      <c r="F164" s="4" t="s">
        <v>32</v>
      </c>
      <c r="G164" s="4">
        <v>2.0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 t="s">
        <v>64</v>
      </c>
      <c r="B165" s="4" t="s">
        <v>33</v>
      </c>
      <c r="C165" s="4" t="s">
        <v>11</v>
      </c>
      <c r="D165" s="4">
        <v>3.0</v>
      </c>
      <c r="E165" s="4" t="s">
        <v>16</v>
      </c>
      <c r="F165" s="4" t="s">
        <v>33</v>
      </c>
      <c r="G165" s="4">
        <v>2.0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64</v>
      </c>
      <c r="B166" s="4" t="s">
        <v>34</v>
      </c>
      <c r="C166" s="4" t="s">
        <v>11</v>
      </c>
      <c r="D166" s="4">
        <v>3.0</v>
      </c>
      <c r="E166" s="4" t="s">
        <v>16</v>
      </c>
      <c r="F166" s="4" t="s">
        <v>34</v>
      </c>
      <c r="G166" s="4">
        <v>1.0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 t="s">
        <v>64</v>
      </c>
      <c r="B167" s="4" t="s">
        <v>35</v>
      </c>
      <c r="C167" s="4" t="s">
        <v>11</v>
      </c>
      <c r="D167" s="4">
        <v>2.0</v>
      </c>
      <c r="E167" s="4" t="s">
        <v>14</v>
      </c>
      <c r="F167" s="4" t="s">
        <v>35</v>
      </c>
      <c r="G167" s="4">
        <v>2.0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 t="s">
        <v>64</v>
      </c>
      <c r="B168" s="4" t="s">
        <v>36</v>
      </c>
      <c r="C168" s="4" t="s">
        <v>11</v>
      </c>
      <c r="D168" s="4">
        <v>1.0</v>
      </c>
      <c r="E168" s="4" t="s">
        <v>12</v>
      </c>
      <c r="F168" s="4" t="s">
        <v>36</v>
      </c>
      <c r="G168" s="4">
        <v>1.0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 t="s">
        <v>64</v>
      </c>
      <c r="B169" s="4" t="s">
        <v>37</v>
      </c>
      <c r="C169" s="4" t="s">
        <v>11</v>
      </c>
      <c r="D169" s="4">
        <v>2.0</v>
      </c>
      <c r="E169" s="4" t="s">
        <v>14</v>
      </c>
      <c r="F169" s="4" t="s">
        <v>37</v>
      </c>
      <c r="G169" s="4">
        <v>1.0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 t="s">
        <v>64</v>
      </c>
      <c r="B170" s="4" t="s">
        <v>38</v>
      </c>
      <c r="C170" s="4" t="s">
        <v>11</v>
      </c>
      <c r="D170" s="4">
        <v>2.0</v>
      </c>
      <c r="E170" s="4" t="s">
        <v>14</v>
      </c>
      <c r="F170" s="4" t="s">
        <v>38</v>
      </c>
      <c r="G170" s="4">
        <v>1.0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 t="s">
        <v>64</v>
      </c>
      <c r="B171" s="4" t="s">
        <v>39</v>
      </c>
      <c r="C171" s="4" t="s">
        <v>11</v>
      </c>
      <c r="D171" s="4">
        <v>2.0</v>
      </c>
      <c r="E171" s="4" t="s">
        <v>14</v>
      </c>
      <c r="F171" s="4" t="s">
        <v>39</v>
      </c>
      <c r="G171" s="4">
        <v>1.0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 t="s">
        <v>64</v>
      </c>
      <c r="B172" s="4" t="s">
        <v>40</v>
      </c>
      <c r="C172" s="4" t="s">
        <v>11</v>
      </c>
      <c r="D172" s="4">
        <v>3.0</v>
      </c>
      <c r="E172" s="4" t="s">
        <v>16</v>
      </c>
      <c r="F172" s="4" t="s">
        <v>40</v>
      </c>
      <c r="G172" s="4">
        <v>3.0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 t="s">
        <v>64</v>
      </c>
      <c r="B173" s="4" t="s">
        <v>41</v>
      </c>
      <c r="C173" s="4" t="s">
        <v>11</v>
      </c>
      <c r="D173" s="4">
        <v>2.0</v>
      </c>
      <c r="E173" s="4" t="s">
        <v>14</v>
      </c>
      <c r="F173" s="4" t="s">
        <v>41</v>
      </c>
      <c r="G173" s="4">
        <v>4.0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 t="s">
        <v>64</v>
      </c>
      <c r="B174" s="4" t="s">
        <v>42</v>
      </c>
      <c r="C174" s="4" t="s">
        <v>11</v>
      </c>
      <c r="D174" s="4">
        <v>3.0</v>
      </c>
      <c r="E174" s="4" t="s">
        <v>16</v>
      </c>
      <c r="F174" s="4" t="s">
        <v>42</v>
      </c>
      <c r="G174" s="4">
        <v>2.0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64</v>
      </c>
      <c r="B175" s="4" t="s">
        <v>43</v>
      </c>
      <c r="C175" s="4" t="s">
        <v>11</v>
      </c>
      <c r="D175" s="4">
        <v>3.0</v>
      </c>
      <c r="E175" s="4" t="s">
        <v>16</v>
      </c>
      <c r="F175" s="4" t="s">
        <v>43</v>
      </c>
      <c r="G175" s="4">
        <v>4.0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 t="s">
        <v>64</v>
      </c>
      <c r="B176" s="4" t="s">
        <v>44</v>
      </c>
      <c r="C176" s="4" t="s">
        <v>11</v>
      </c>
      <c r="D176" s="4">
        <v>3.0</v>
      </c>
      <c r="E176" s="4" t="s">
        <v>16</v>
      </c>
      <c r="F176" s="4" t="s">
        <v>44</v>
      </c>
      <c r="G176" s="4">
        <v>1.0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 t="s">
        <v>64</v>
      </c>
      <c r="B177" s="4" t="s">
        <v>45</v>
      </c>
      <c r="C177" s="4" t="s">
        <v>11</v>
      </c>
      <c r="D177" s="4">
        <v>2.0</v>
      </c>
      <c r="E177" s="4" t="s">
        <v>14</v>
      </c>
      <c r="F177" s="4" t="s">
        <v>45</v>
      </c>
      <c r="G177" s="4">
        <v>1.0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 t="s">
        <v>64</v>
      </c>
      <c r="B178" s="4" t="s">
        <v>46</v>
      </c>
      <c r="C178" s="4" t="s">
        <v>11</v>
      </c>
      <c r="D178" s="4">
        <v>2.0</v>
      </c>
      <c r="E178" s="4" t="s">
        <v>14</v>
      </c>
      <c r="F178" s="4" t="s">
        <v>46</v>
      </c>
      <c r="G178" s="4">
        <v>1.0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 t="s">
        <v>64</v>
      </c>
      <c r="B179" s="4" t="s">
        <v>47</v>
      </c>
      <c r="C179" s="4" t="s">
        <v>11</v>
      </c>
      <c r="D179" s="4">
        <v>1.0</v>
      </c>
      <c r="E179" s="4" t="s">
        <v>12</v>
      </c>
      <c r="F179" s="4" t="s">
        <v>47</v>
      </c>
      <c r="G179" s="4">
        <v>4.0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 t="s">
        <v>64</v>
      </c>
      <c r="B180" s="4" t="s">
        <v>48</v>
      </c>
      <c r="C180" s="4" t="s">
        <v>11</v>
      </c>
      <c r="D180" s="4">
        <v>1.0</v>
      </c>
      <c r="E180" s="4" t="s">
        <v>12</v>
      </c>
      <c r="F180" s="4" t="s">
        <v>48</v>
      </c>
      <c r="G180" s="4">
        <v>1.0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 t="s">
        <v>64</v>
      </c>
      <c r="B181" s="4" t="s">
        <v>49</v>
      </c>
      <c r="C181" s="4" t="s">
        <v>11</v>
      </c>
      <c r="D181" s="4">
        <v>2.0</v>
      </c>
      <c r="E181" s="4" t="s">
        <v>14</v>
      </c>
      <c r="F181" s="4" t="s">
        <v>49</v>
      </c>
      <c r="G181" s="4">
        <v>2.0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64</v>
      </c>
      <c r="B182" s="4" t="s">
        <v>50</v>
      </c>
      <c r="C182" s="4" t="s">
        <v>11</v>
      </c>
      <c r="D182" s="4">
        <v>3.0</v>
      </c>
      <c r="E182" s="4" t="s">
        <v>16</v>
      </c>
      <c r="F182" s="4" t="s">
        <v>50</v>
      </c>
      <c r="G182" s="4">
        <v>1.0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 t="s">
        <v>64</v>
      </c>
      <c r="B183" s="4" t="s">
        <v>51</v>
      </c>
      <c r="C183" s="4" t="s">
        <v>11</v>
      </c>
      <c r="D183" s="4">
        <v>1.0</v>
      </c>
      <c r="E183" s="4" t="s">
        <v>12</v>
      </c>
      <c r="F183" s="4" t="s">
        <v>51</v>
      </c>
      <c r="G183" s="4">
        <v>1.0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 t="s">
        <v>64</v>
      </c>
      <c r="B184" s="4" t="s">
        <v>52</v>
      </c>
      <c r="C184" s="4" t="s">
        <v>11</v>
      </c>
      <c r="D184" s="4">
        <v>3.0</v>
      </c>
      <c r="E184" s="4" t="s">
        <v>16</v>
      </c>
      <c r="F184" s="4" t="s">
        <v>52</v>
      </c>
      <c r="G184" s="4">
        <v>1.0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 t="s">
        <v>64</v>
      </c>
      <c r="B185" s="4" t="s">
        <v>53</v>
      </c>
      <c r="C185" s="4" t="s">
        <v>11</v>
      </c>
      <c r="D185" s="4">
        <v>3.0</v>
      </c>
      <c r="E185" s="4" t="s">
        <v>16</v>
      </c>
      <c r="F185" s="4" t="s">
        <v>53</v>
      </c>
      <c r="G185" s="4">
        <v>1.0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64</v>
      </c>
      <c r="B186" s="4" t="s">
        <v>54</v>
      </c>
      <c r="C186" s="4" t="s">
        <v>11</v>
      </c>
      <c r="D186" s="4">
        <v>2.0</v>
      </c>
      <c r="E186" s="4" t="s">
        <v>14</v>
      </c>
      <c r="F186" s="4" t="s">
        <v>54</v>
      </c>
      <c r="G186" s="4">
        <v>3.0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64</v>
      </c>
      <c r="B187" s="4" t="s">
        <v>55</v>
      </c>
      <c r="C187" s="4" t="s">
        <v>11</v>
      </c>
      <c r="D187" s="4">
        <v>3.0</v>
      </c>
      <c r="E187" s="4" t="s">
        <v>16</v>
      </c>
      <c r="F187" s="4" t="s">
        <v>55</v>
      </c>
      <c r="G187" s="4">
        <v>4.0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 t="s">
        <v>64</v>
      </c>
      <c r="B188" s="4" t="s">
        <v>56</v>
      </c>
      <c r="C188" s="4" t="s">
        <v>11</v>
      </c>
      <c r="D188" s="4">
        <v>2.0</v>
      </c>
      <c r="E188" s="4" t="s">
        <v>14</v>
      </c>
      <c r="F188" s="4" t="s">
        <v>56</v>
      </c>
      <c r="G188" s="4">
        <v>1.0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 t="s">
        <v>64</v>
      </c>
      <c r="B189" s="4" t="s">
        <v>57</v>
      </c>
      <c r="C189" s="4" t="s">
        <v>11</v>
      </c>
      <c r="D189" s="4">
        <v>1.0</v>
      </c>
      <c r="E189" s="4" t="s">
        <v>12</v>
      </c>
      <c r="F189" s="4" t="s">
        <v>57</v>
      </c>
      <c r="G189" s="4">
        <v>1.0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 t="s">
        <v>64</v>
      </c>
      <c r="B190" s="4" t="s">
        <v>58</v>
      </c>
      <c r="C190" s="4" t="s">
        <v>11</v>
      </c>
      <c r="D190" s="4">
        <v>2.0</v>
      </c>
      <c r="E190" s="4" t="s">
        <v>14</v>
      </c>
      <c r="F190" s="4" t="s">
        <v>58</v>
      </c>
      <c r="G190" s="4">
        <v>4.0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 t="s">
        <v>64</v>
      </c>
      <c r="B191" s="4" t="s">
        <v>59</v>
      </c>
      <c r="C191" s="4" t="s">
        <v>11</v>
      </c>
      <c r="D191" s="4">
        <v>3.0</v>
      </c>
      <c r="E191" s="4" t="s">
        <v>16</v>
      </c>
      <c r="F191" s="4" t="s">
        <v>59</v>
      </c>
      <c r="G191" s="4">
        <v>3.0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 t="s">
        <v>64</v>
      </c>
      <c r="B192" s="4" t="s">
        <v>60</v>
      </c>
      <c r="C192" s="4" t="s">
        <v>11</v>
      </c>
      <c r="D192" s="4">
        <v>2.0</v>
      </c>
      <c r="E192" s="4" t="s">
        <v>14</v>
      </c>
      <c r="F192" s="4" t="s">
        <v>60</v>
      </c>
      <c r="G192" s="4">
        <v>1.0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65</v>
      </c>
      <c r="B193" s="4" t="s">
        <v>10</v>
      </c>
      <c r="C193" s="4" t="s">
        <v>11</v>
      </c>
      <c r="D193" s="4">
        <v>3.0</v>
      </c>
      <c r="E193" s="4" t="s">
        <v>16</v>
      </c>
      <c r="F193" s="4" t="s">
        <v>10</v>
      </c>
      <c r="G193" s="4">
        <v>1.0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 t="s">
        <v>65</v>
      </c>
      <c r="B194" s="4" t="s">
        <v>13</v>
      </c>
      <c r="C194" s="4" t="s">
        <v>11</v>
      </c>
      <c r="D194" s="4">
        <v>1.0</v>
      </c>
      <c r="E194" s="4" t="s">
        <v>12</v>
      </c>
      <c r="F194" s="4" t="s">
        <v>13</v>
      </c>
      <c r="G194" s="4">
        <v>3.0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 t="s">
        <v>65</v>
      </c>
      <c r="B195" s="4" t="s">
        <v>15</v>
      </c>
      <c r="C195" s="4" t="s">
        <v>11</v>
      </c>
      <c r="D195" s="4">
        <v>3.0</v>
      </c>
      <c r="E195" s="4" t="s">
        <v>16</v>
      </c>
      <c r="F195" s="4" t="s">
        <v>15</v>
      </c>
      <c r="G195" s="4">
        <v>4.0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 t="s">
        <v>65</v>
      </c>
      <c r="B196" s="4" t="s">
        <v>17</v>
      </c>
      <c r="C196" s="4" t="s">
        <v>11</v>
      </c>
      <c r="D196" s="4">
        <v>3.0</v>
      </c>
      <c r="E196" s="4" t="s">
        <v>16</v>
      </c>
      <c r="F196" s="4" t="s">
        <v>17</v>
      </c>
      <c r="G196" s="4">
        <v>2.0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65</v>
      </c>
      <c r="B197" s="4" t="s">
        <v>18</v>
      </c>
      <c r="C197" s="4" t="s">
        <v>11</v>
      </c>
      <c r="D197" s="4">
        <v>1.0</v>
      </c>
      <c r="E197" s="4" t="s">
        <v>12</v>
      </c>
      <c r="F197" s="4" t="s">
        <v>18</v>
      </c>
      <c r="G197" s="4">
        <v>2.0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 t="s">
        <v>65</v>
      </c>
      <c r="B198" s="4" t="s">
        <v>19</v>
      </c>
      <c r="C198" s="4" t="s">
        <v>11</v>
      </c>
      <c r="D198" s="4">
        <v>3.0</v>
      </c>
      <c r="E198" s="4" t="s">
        <v>16</v>
      </c>
      <c r="F198" s="4" t="s">
        <v>19</v>
      </c>
      <c r="G198" s="4">
        <v>1.0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65</v>
      </c>
      <c r="B199" s="4" t="s">
        <v>20</v>
      </c>
      <c r="C199" s="4" t="s">
        <v>11</v>
      </c>
      <c r="D199" s="4">
        <v>3.0</v>
      </c>
      <c r="E199" s="4" t="s">
        <v>16</v>
      </c>
      <c r="F199" s="4" t="s">
        <v>20</v>
      </c>
      <c r="G199" s="4">
        <v>4.0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 t="s">
        <v>65</v>
      </c>
      <c r="B200" s="4" t="s">
        <v>21</v>
      </c>
      <c r="C200" s="4" t="s">
        <v>11</v>
      </c>
      <c r="D200" s="4">
        <v>1.0</v>
      </c>
      <c r="E200" s="4" t="s">
        <v>12</v>
      </c>
      <c r="F200" s="4" t="s">
        <v>21</v>
      </c>
      <c r="G200" s="4">
        <v>3.0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 t="s">
        <v>65</v>
      </c>
      <c r="B201" s="4" t="s">
        <v>22</v>
      </c>
      <c r="C201" s="4" t="s">
        <v>11</v>
      </c>
      <c r="D201" s="4">
        <v>3.0</v>
      </c>
      <c r="E201" s="4" t="s">
        <v>16</v>
      </c>
      <c r="F201" s="4" t="s">
        <v>22</v>
      </c>
      <c r="G201" s="4">
        <v>1.0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 t="s">
        <v>65</v>
      </c>
      <c r="B202" s="4" t="s">
        <v>23</v>
      </c>
      <c r="C202" s="4" t="s">
        <v>11</v>
      </c>
      <c r="D202" s="4">
        <v>3.0</v>
      </c>
      <c r="E202" s="4" t="s">
        <v>16</v>
      </c>
      <c r="F202" s="4" t="s">
        <v>23</v>
      </c>
      <c r="G202" s="4">
        <v>4.0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 t="s">
        <v>65</v>
      </c>
      <c r="B203" s="4" t="s">
        <v>24</v>
      </c>
      <c r="C203" s="4" t="s">
        <v>11</v>
      </c>
      <c r="D203" s="4">
        <v>3.0</v>
      </c>
      <c r="E203" s="4" t="s">
        <v>16</v>
      </c>
      <c r="F203" s="4" t="s">
        <v>24</v>
      </c>
      <c r="G203" s="4">
        <v>4.0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 t="s">
        <v>65</v>
      </c>
      <c r="B204" s="4" t="s">
        <v>25</v>
      </c>
      <c r="C204" s="4" t="s">
        <v>11</v>
      </c>
      <c r="D204" s="4">
        <v>1.0</v>
      </c>
      <c r="E204" s="4" t="s">
        <v>12</v>
      </c>
      <c r="F204" s="4" t="s">
        <v>25</v>
      </c>
      <c r="G204" s="4">
        <v>3.0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 t="s">
        <v>65</v>
      </c>
      <c r="B205" s="4" t="s">
        <v>26</v>
      </c>
      <c r="C205" s="4" t="s">
        <v>11</v>
      </c>
      <c r="D205" s="4">
        <v>3.0</v>
      </c>
      <c r="E205" s="4" t="s">
        <v>16</v>
      </c>
      <c r="F205" s="4" t="s">
        <v>26</v>
      </c>
      <c r="G205" s="4">
        <v>3.0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 t="s">
        <v>65</v>
      </c>
      <c r="B206" s="4" t="s">
        <v>27</v>
      </c>
      <c r="C206" s="4" t="s">
        <v>11</v>
      </c>
      <c r="D206" s="4">
        <v>3.0</v>
      </c>
      <c r="E206" s="4" t="s">
        <v>16</v>
      </c>
      <c r="F206" s="4" t="s">
        <v>27</v>
      </c>
      <c r="G206" s="4">
        <v>3.0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65</v>
      </c>
      <c r="B207" s="4" t="s">
        <v>28</v>
      </c>
      <c r="C207" s="4" t="s">
        <v>11</v>
      </c>
      <c r="D207" s="4">
        <v>3.0</v>
      </c>
      <c r="E207" s="4" t="s">
        <v>16</v>
      </c>
      <c r="F207" s="4" t="s">
        <v>28</v>
      </c>
      <c r="G207" s="4">
        <v>4.0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 t="s">
        <v>65</v>
      </c>
      <c r="B208" s="4" t="s">
        <v>62</v>
      </c>
      <c r="C208" s="4" t="s">
        <v>11</v>
      </c>
      <c r="D208" s="4">
        <v>3.0</v>
      </c>
      <c r="E208" s="4" t="s">
        <v>16</v>
      </c>
      <c r="F208" s="4" t="s">
        <v>62</v>
      </c>
      <c r="G208" s="4">
        <v>3.0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65</v>
      </c>
      <c r="B209" s="4" t="s">
        <v>29</v>
      </c>
      <c r="C209" s="4" t="s">
        <v>11</v>
      </c>
      <c r="D209" s="4">
        <v>2.0</v>
      </c>
      <c r="E209" s="4" t="s">
        <v>14</v>
      </c>
      <c r="F209" s="4" t="s">
        <v>29</v>
      </c>
      <c r="G209" s="4">
        <v>4.0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 t="s">
        <v>65</v>
      </c>
      <c r="B210" s="4" t="s">
        <v>30</v>
      </c>
      <c r="C210" s="4" t="s">
        <v>11</v>
      </c>
      <c r="D210" s="4">
        <v>3.0</v>
      </c>
      <c r="E210" s="4" t="s">
        <v>16</v>
      </c>
      <c r="F210" s="4" t="s">
        <v>30</v>
      </c>
      <c r="G210" s="4">
        <v>4.0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 t="s">
        <v>65</v>
      </c>
      <c r="B211" s="4" t="s">
        <v>31</v>
      </c>
      <c r="C211" s="4" t="s">
        <v>11</v>
      </c>
      <c r="D211" s="4">
        <v>3.0</v>
      </c>
      <c r="E211" s="4" t="s">
        <v>16</v>
      </c>
      <c r="F211" s="4" t="s">
        <v>31</v>
      </c>
      <c r="G211" s="4">
        <v>3.0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 t="s">
        <v>65</v>
      </c>
      <c r="B212" s="4" t="s">
        <v>32</v>
      </c>
      <c r="C212" s="4" t="s">
        <v>11</v>
      </c>
      <c r="D212" s="4">
        <v>1.0</v>
      </c>
      <c r="E212" s="4" t="s">
        <v>12</v>
      </c>
      <c r="F212" s="4" t="s">
        <v>32</v>
      </c>
      <c r="G212" s="4">
        <v>4.0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 t="s">
        <v>65</v>
      </c>
      <c r="B213" s="4" t="s">
        <v>33</v>
      </c>
      <c r="C213" s="4" t="s">
        <v>11</v>
      </c>
      <c r="D213" s="4">
        <v>3.0</v>
      </c>
      <c r="E213" s="4" t="s">
        <v>16</v>
      </c>
      <c r="F213" s="4" t="s">
        <v>33</v>
      </c>
      <c r="G213" s="4">
        <v>4.0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 t="s">
        <v>65</v>
      </c>
      <c r="B214" s="4" t="s">
        <v>34</v>
      </c>
      <c r="C214" s="4" t="s">
        <v>11</v>
      </c>
      <c r="D214" s="4">
        <v>3.0</v>
      </c>
      <c r="E214" s="4" t="s">
        <v>16</v>
      </c>
      <c r="F214" s="4" t="s">
        <v>34</v>
      </c>
      <c r="G214" s="4">
        <v>3.0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 t="s">
        <v>65</v>
      </c>
      <c r="B215" s="4" t="s">
        <v>35</v>
      </c>
      <c r="C215" s="4" t="s">
        <v>11</v>
      </c>
      <c r="D215" s="4">
        <v>3.0</v>
      </c>
      <c r="E215" s="4" t="s">
        <v>16</v>
      </c>
      <c r="F215" s="4" t="s">
        <v>35</v>
      </c>
      <c r="G215" s="4">
        <v>3.0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 t="s">
        <v>65</v>
      </c>
      <c r="B216" s="4" t="s">
        <v>36</v>
      </c>
      <c r="C216" s="4" t="s">
        <v>11</v>
      </c>
      <c r="D216" s="4">
        <v>3.0</v>
      </c>
      <c r="E216" s="4" t="s">
        <v>16</v>
      </c>
      <c r="F216" s="4" t="s">
        <v>36</v>
      </c>
      <c r="G216" s="4">
        <v>3.0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 t="s">
        <v>65</v>
      </c>
      <c r="B217" s="4" t="s">
        <v>37</v>
      </c>
      <c r="C217" s="4" t="s">
        <v>11</v>
      </c>
      <c r="D217" s="4">
        <v>2.0</v>
      </c>
      <c r="E217" s="4" t="s">
        <v>14</v>
      </c>
      <c r="F217" s="4" t="s">
        <v>37</v>
      </c>
      <c r="G217" s="4">
        <v>4.0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 t="s">
        <v>65</v>
      </c>
      <c r="B218" s="4" t="s">
        <v>38</v>
      </c>
      <c r="C218" s="4" t="s">
        <v>11</v>
      </c>
      <c r="D218" s="4">
        <v>1.0</v>
      </c>
      <c r="E218" s="4" t="s">
        <v>12</v>
      </c>
      <c r="F218" s="4" t="s">
        <v>38</v>
      </c>
      <c r="G218" s="4">
        <v>4.0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65</v>
      </c>
      <c r="B219" s="4" t="s">
        <v>39</v>
      </c>
      <c r="C219" s="4" t="s">
        <v>11</v>
      </c>
      <c r="D219" s="4">
        <v>3.0</v>
      </c>
      <c r="E219" s="4" t="s">
        <v>16</v>
      </c>
      <c r="F219" s="4" t="s">
        <v>39</v>
      </c>
      <c r="G219" s="4">
        <v>4.0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 t="s">
        <v>65</v>
      </c>
      <c r="B220" s="4" t="s">
        <v>40</v>
      </c>
      <c r="C220" s="4" t="s">
        <v>11</v>
      </c>
      <c r="D220" s="4">
        <v>1.0</v>
      </c>
      <c r="E220" s="4" t="s">
        <v>12</v>
      </c>
      <c r="F220" s="4" t="s">
        <v>40</v>
      </c>
      <c r="G220" s="4">
        <v>2.0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 t="s">
        <v>65</v>
      </c>
      <c r="B221" s="4" t="s">
        <v>41</v>
      </c>
      <c r="C221" s="4" t="s">
        <v>11</v>
      </c>
      <c r="D221" s="4">
        <v>3.0</v>
      </c>
      <c r="E221" s="4" t="s">
        <v>16</v>
      </c>
      <c r="F221" s="4" t="s">
        <v>41</v>
      </c>
      <c r="G221" s="4">
        <v>4.0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 t="s">
        <v>65</v>
      </c>
      <c r="B222" s="4" t="s">
        <v>42</v>
      </c>
      <c r="C222" s="4" t="s">
        <v>11</v>
      </c>
      <c r="D222" s="4">
        <v>3.0</v>
      </c>
      <c r="E222" s="4" t="s">
        <v>16</v>
      </c>
      <c r="F222" s="4" t="s">
        <v>42</v>
      </c>
      <c r="G222" s="4">
        <v>4.0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 t="s">
        <v>65</v>
      </c>
      <c r="B223" s="4" t="s">
        <v>43</v>
      </c>
      <c r="C223" s="4" t="s">
        <v>11</v>
      </c>
      <c r="D223" s="4">
        <v>1.0</v>
      </c>
      <c r="E223" s="4" t="s">
        <v>12</v>
      </c>
      <c r="F223" s="4" t="s">
        <v>43</v>
      </c>
      <c r="G223" s="4">
        <v>4.0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 t="s">
        <v>65</v>
      </c>
      <c r="B224" s="4" t="s">
        <v>44</v>
      </c>
      <c r="C224" s="4" t="s">
        <v>11</v>
      </c>
      <c r="D224" s="4">
        <v>2.0</v>
      </c>
      <c r="E224" s="4" t="s">
        <v>14</v>
      </c>
      <c r="F224" s="4" t="s">
        <v>44</v>
      </c>
      <c r="G224" s="4">
        <v>4.0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 t="s">
        <v>65</v>
      </c>
      <c r="B225" s="4" t="s">
        <v>45</v>
      </c>
      <c r="C225" s="4" t="s">
        <v>11</v>
      </c>
      <c r="D225" s="4">
        <v>3.0</v>
      </c>
      <c r="E225" s="4" t="s">
        <v>16</v>
      </c>
      <c r="F225" s="4" t="s">
        <v>45</v>
      </c>
      <c r="G225" s="4">
        <v>4.0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 t="s">
        <v>65</v>
      </c>
      <c r="B226" s="4" t="s">
        <v>46</v>
      </c>
      <c r="C226" s="4" t="s">
        <v>11</v>
      </c>
      <c r="D226" s="4">
        <v>2.0</v>
      </c>
      <c r="E226" s="4" t="s">
        <v>14</v>
      </c>
      <c r="F226" s="4" t="s">
        <v>46</v>
      </c>
      <c r="G226" s="4">
        <v>2.0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 t="s">
        <v>65</v>
      </c>
      <c r="B227" s="4" t="s">
        <v>47</v>
      </c>
      <c r="C227" s="4" t="s">
        <v>11</v>
      </c>
      <c r="D227" s="4">
        <v>3.0</v>
      </c>
      <c r="E227" s="4" t="s">
        <v>16</v>
      </c>
      <c r="F227" s="4" t="s">
        <v>47</v>
      </c>
      <c r="G227" s="4">
        <v>4.0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 t="s">
        <v>65</v>
      </c>
      <c r="B228" s="4" t="s">
        <v>48</v>
      </c>
      <c r="C228" s="4" t="s">
        <v>11</v>
      </c>
      <c r="D228" s="4">
        <v>3.0</v>
      </c>
      <c r="E228" s="4" t="s">
        <v>16</v>
      </c>
      <c r="F228" s="4" t="s">
        <v>48</v>
      </c>
      <c r="G228" s="4">
        <v>2.0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65</v>
      </c>
      <c r="B229" s="4" t="s">
        <v>49</v>
      </c>
      <c r="C229" s="4" t="s">
        <v>11</v>
      </c>
      <c r="D229" s="4">
        <v>3.0</v>
      </c>
      <c r="E229" s="4" t="s">
        <v>16</v>
      </c>
      <c r="F229" s="4" t="s">
        <v>49</v>
      </c>
      <c r="G229" s="4">
        <v>4.0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 t="s">
        <v>65</v>
      </c>
      <c r="B230" s="4" t="s">
        <v>51</v>
      </c>
      <c r="C230" s="4" t="s">
        <v>11</v>
      </c>
      <c r="D230" s="4">
        <v>3.0</v>
      </c>
      <c r="E230" s="4" t="s">
        <v>16</v>
      </c>
      <c r="F230" s="4" t="s">
        <v>51</v>
      </c>
      <c r="G230" s="4">
        <v>2.0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 t="s">
        <v>65</v>
      </c>
      <c r="B231" s="4" t="s">
        <v>52</v>
      </c>
      <c r="C231" s="4" t="s">
        <v>11</v>
      </c>
      <c r="D231" s="4">
        <v>3.0</v>
      </c>
      <c r="E231" s="4" t="s">
        <v>16</v>
      </c>
      <c r="F231" s="4" t="s">
        <v>52</v>
      </c>
      <c r="G231" s="4">
        <v>3.0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 t="s">
        <v>65</v>
      </c>
      <c r="B232" s="4" t="s">
        <v>53</v>
      </c>
      <c r="C232" s="4" t="s">
        <v>11</v>
      </c>
      <c r="D232" s="4">
        <v>3.0</v>
      </c>
      <c r="E232" s="4" t="s">
        <v>16</v>
      </c>
      <c r="F232" s="4" t="s">
        <v>53</v>
      </c>
      <c r="G232" s="4">
        <v>4.0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 t="s">
        <v>65</v>
      </c>
      <c r="B233" s="4" t="s">
        <v>54</v>
      </c>
      <c r="C233" s="4" t="s">
        <v>11</v>
      </c>
      <c r="D233" s="4">
        <v>3.0</v>
      </c>
      <c r="E233" s="4" t="s">
        <v>16</v>
      </c>
      <c r="F233" s="4" t="s">
        <v>54</v>
      </c>
      <c r="G233" s="4">
        <v>3.0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 t="s">
        <v>65</v>
      </c>
      <c r="B234" s="4" t="s">
        <v>55</v>
      </c>
      <c r="C234" s="4" t="s">
        <v>11</v>
      </c>
      <c r="D234" s="4">
        <v>3.0</v>
      </c>
      <c r="E234" s="4" t="s">
        <v>16</v>
      </c>
      <c r="F234" s="4" t="s">
        <v>55</v>
      </c>
      <c r="G234" s="4">
        <v>3.0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 t="s">
        <v>65</v>
      </c>
      <c r="B235" s="4" t="s">
        <v>56</v>
      </c>
      <c r="C235" s="4" t="s">
        <v>11</v>
      </c>
      <c r="D235" s="4">
        <v>3.0</v>
      </c>
      <c r="E235" s="4" t="s">
        <v>16</v>
      </c>
      <c r="F235" s="4" t="s">
        <v>56</v>
      </c>
      <c r="G235" s="4">
        <v>1.0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 t="s">
        <v>65</v>
      </c>
      <c r="B236" s="4" t="s">
        <v>57</v>
      </c>
      <c r="C236" s="4" t="s">
        <v>11</v>
      </c>
      <c r="D236" s="4">
        <v>3.0</v>
      </c>
      <c r="E236" s="4" t="s">
        <v>16</v>
      </c>
      <c r="F236" s="4" t="s">
        <v>57</v>
      </c>
      <c r="G236" s="4">
        <v>4.0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65</v>
      </c>
      <c r="B237" s="4" t="s">
        <v>58</v>
      </c>
      <c r="C237" s="4" t="s">
        <v>11</v>
      </c>
      <c r="D237" s="4">
        <v>3.0</v>
      </c>
      <c r="E237" s="4" t="s">
        <v>16</v>
      </c>
      <c r="F237" s="4" t="s">
        <v>58</v>
      </c>
      <c r="G237" s="4">
        <v>4.0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 t="s">
        <v>65</v>
      </c>
      <c r="B238" s="4" t="s">
        <v>59</v>
      </c>
      <c r="C238" s="4" t="s">
        <v>11</v>
      </c>
      <c r="D238" s="4">
        <v>1.0</v>
      </c>
      <c r="E238" s="4" t="s">
        <v>12</v>
      </c>
      <c r="F238" s="4" t="s">
        <v>59</v>
      </c>
      <c r="G238" s="4">
        <v>4.0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 t="s">
        <v>65</v>
      </c>
      <c r="B239" s="4" t="s">
        <v>60</v>
      </c>
      <c r="C239" s="4" t="s">
        <v>11</v>
      </c>
      <c r="D239" s="4">
        <v>3.0</v>
      </c>
      <c r="E239" s="4" t="s">
        <v>16</v>
      </c>
      <c r="F239" s="4" t="s">
        <v>60</v>
      </c>
      <c r="G239" s="4">
        <v>1.0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 t="s">
        <v>66</v>
      </c>
      <c r="B240" s="4" t="s">
        <v>10</v>
      </c>
      <c r="C240" s="4" t="s">
        <v>11</v>
      </c>
      <c r="D240" s="4">
        <v>3.0</v>
      </c>
      <c r="E240" s="4" t="s">
        <v>16</v>
      </c>
      <c r="F240" s="4" t="s">
        <v>10</v>
      </c>
      <c r="G240" s="4">
        <v>1.0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 t="s">
        <v>66</v>
      </c>
      <c r="B241" s="4" t="s">
        <v>13</v>
      </c>
      <c r="C241" s="4" t="s">
        <v>11</v>
      </c>
      <c r="D241" s="4">
        <v>1.0</v>
      </c>
      <c r="E241" s="4" t="s">
        <v>12</v>
      </c>
      <c r="F241" s="4" t="s">
        <v>13</v>
      </c>
      <c r="G241" s="4">
        <v>1.0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 t="s">
        <v>66</v>
      </c>
      <c r="B242" s="4" t="s">
        <v>15</v>
      </c>
      <c r="C242" s="4" t="s">
        <v>11</v>
      </c>
      <c r="D242" s="4">
        <v>3.0</v>
      </c>
      <c r="E242" s="4" t="s">
        <v>16</v>
      </c>
      <c r="F242" s="4" t="s">
        <v>15</v>
      </c>
      <c r="G242" s="4">
        <v>3.0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 t="s">
        <v>66</v>
      </c>
      <c r="B243" s="4" t="s">
        <v>17</v>
      </c>
      <c r="C243" s="4" t="s">
        <v>11</v>
      </c>
      <c r="D243" s="4">
        <v>3.0</v>
      </c>
      <c r="E243" s="4" t="s">
        <v>16</v>
      </c>
      <c r="F243" s="4" t="s">
        <v>17</v>
      </c>
      <c r="G243" s="4">
        <v>2.0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 t="s">
        <v>66</v>
      </c>
      <c r="B244" s="4" t="s">
        <v>18</v>
      </c>
      <c r="C244" s="4" t="s">
        <v>11</v>
      </c>
      <c r="D244" s="4">
        <v>3.0</v>
      </c>
      <c r="E244" s="4" t="s">
        <v>16</v>
      </c>
      <c r="F244" s="4" t="s">
        <v>18</v>
      </c>
      <c r="G244" s="4">
        <v>1.0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 t="s">
        <v>66</v>
      </c>
      <c r="B245" s="4" t="s">
        <v>19</v>
      </c>
      <c r="C245" s="4" t="s">
        <v>11</v>
      </c>
      <c r="D245" s="4">
        <v>3.0</v>
      </c>
      <c r="E245" s="4" t="s">
        <v>16</v>
      </c>
      <c r="F245" s="4" t="s">
        <v>19</v>
      </c>
      <c r="G245" s="4">
        <v>1.0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 t="s">
        <v>66</v>
      </c>
      <c r="B246" s="4" t="s">
        <v>20</v>
      </c>
      <c r="C246" s="4" t="s">
        <v>11</v>
      </c>
      <c r="D246" s="4">
        <v>3.0</v>
      </c>
      <c r="E246" s="4" t="s">
        <v>16</v>
      </c>
      <c r="F246" s="4" t="s">
        <v>20</v>
      </c>
      <c r="G246" s="4">
        <v>1.0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 t="s">
        <v>66</v>
      </c>
      <c r="B247" s="4" t="s">
        <v>21</v>
      </c>
      <c r="C247" s="4" t="s">
        <v>11</v>
      </c>
      <c r="D247" s="4">
        <v>2.0</v>
      </c>
      <c r="E247" s="4" t="s">
        <v>14</v>
      </c>
      <c r="F247" s="4" t="s">
        <v>21</v>
      </c>
      <c r="G247" s="4">
        <v>1.0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66</v>
      </c>
      <c r="B248" s="4" t="s">
        <v>22</v>
      </c>
      <c r="C248" s="4" t="s">
        <v>11</v>
      </c>
      <c r="D248" s="4">
        <v>3.0</v>
      </c>
      <c r="E248" s="4" t="s">
        <v>16</v>
      </c>
      <c r="F248" s="4" t="s">
        <v>22</v>
      </c>
      <c r="G248" s="4">
        <v>1.0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 t="s">
        <v>66</v>
      </c>
      <c r="B249" s="4" t="s">
        <v>23</v>
      </c>
      <c r="C249" s="4" t="s">
        <v>11</v>
      </c>
      <c r="D249" s="4">
        <v>1.0</v>
      </c>
      <c r="E249" s="4" t="s">
        <v>12</v>
      </c>
      <c r="F249" s="4" t="s">
        <v>23</v>
      </c>
      <c r="G249" s="4">
        <v>2.0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 t="s">
        <v>66</v>
      </c>
      <c r="B250" s="4" t="s">
        <v>24</v>
      </c>
      <c r="C250" s="4" t="s">
        <v>11</v>
      </c>
      <c r="D250" s="4">
        <v>3.0</v>
      </c>
      <c r="E250" s="4" t="s">
        <v>16</v>
      </c>
      <c r="F250" s="4" t="s">
        <v>24</v>
      </c>
      <c r="G250" s="4">
        <v>2.0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 t="s">
        <v>66</v>
      </c>
      <c r="B251" s="4" t="s">
        <v>25</v>
      </c>
      <c r="C251" s="4" t="s">
        <v>11</v>
      </c>
      <c r="D251" s="4">
        <v>1.0</v>
      </c>
      <c r="E251" s="4" t="s">
        <v>12</v>
      </c>
      <c r="F251" s="4" t="s">
        <v>25</v>
      </c>
      <c r="G251" s="4">
        <v>3.0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 t="s">
        <v>66</v>
      </c>
      <c r="B252" s="4" t="s">
        <v>26</v>
      </c>
      <c r="C252" s="4" t="s">
        <v>11</v>
      </c>
      <c r="D252" s="4">
        <v>3.0</v>
      </c>
      <c r="E252" s="4" t="s">
        <v>16</v>
      </c>
      <c r="F252" s="4" t="s">
        <v>26</v>
      </c>
      <c r="G252" s="4">
        <v>1.0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 t="s">
        <v>66</v>
      </c>
      <c r="B253" s="4" t="s">
        <v>27</v>
      </c>
      <c r="C253" s="4" t="s">
        <v>11</v>
      </c>
      <c r="D253" s="4">
        <v>1.0</v>
      </c>
      <c r="E253" s="4" t="s">
        <v>12</v>
      </c>
      <c r="F253" s="4" t="s">
        <v>27</v>
      </c>
      <c r="G253" s="4">
        <v>4.0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 t="s">
        <v>66</v>
      </c>
      <c r="B254" s="4" t="s">
        <v>28</v>
      </c>
      <c r="C254" s="4" t="s">
        <v>11</v>
      </c>
      <c r="D254" s="4">
        <v>1.0</v>
      </c>
      <c r="E254" s="4" t="s">
        <v>12</v>
      </c>
      <c r="F254" s="4" t="s">
        <v>28</v>
      </c>
      <c r="G254" s="4">
        <v>4.0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 t="s">
        <v>66</v>
      </c>
      <c r="B255" s="4" t="s">
        <v>62</v>
      </c>
      <c r="C255" s="4" t="s">
        <v>11</v>
      </c>
      <c r="D255" s="4">
        <v>3.0</v>
      </c>
      <c r="E255" s="4" t="s">
        <v>16</v>
      </c>
      <c r="F255" s="4" t="s">
        <v>62</v>
      </c>
      <c r="G255" s="4">
        <v>1.0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66</v>
      </c>
      <c r="B256" s="4" t="s">
        <v>29</v>
      </c>
      <c r="C256" s="4" t="s">
        <v>11</v>
      </c>
      <c r="D256" s="4">
        <v>1.0</v>
      </c>
      <c r="E256" s="4" t="s">
        <v>12</v>
      </c>
      <c r="F256" s="4" t="s">
        <v>29</v>
      </c>
      <c r="G256" s="4">
        <v>4.0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 t="s">
        <v>66</v>
      </c>
      <c r="B257" s="4" t="s">
        <v>30</v>
      </c>
      <c r="C257" s="4" t="s">
        <v>11</v>
      </c>
      <c r="D257" s="4">
        <v>2.0</v>
      </c>
      <c r="E257" s="4" t="s">
        <v>14</v>
      </c>
      <c r="F257" s="4" t="s">
        <v>30</v>
      </c>
      <c r="G257" s="4">
        <v>3.0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 t="s">
        <v>66</v>
      </c>
      <c r="B258" s="4" t="s">
        <v>31</v>
      </c>
      <c r="C258" s="4" t="s">
        <v>11</v>
      </c>
      <c r="D258" s="4">
        <v>1.0</v>
      </c>
      <c r="E258" s="4" t="s">
        <v>12</v>
      </c>
      <c r="F258" s="4" t="s">
        <v>31</v>
      </c>
      <c r="G258" s="4">
        <v>1.0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 t="s">
        <v>66</v>
      </c>
      <c r="B259" s="4" t="s">
        <v>32</v>
      </c>
      <c r="C259" s="4" t="s">
        <v>11</v>
      </c>
      <c r="D259" s="4">
        <v>3.0</v>
      </c>
      <c r="E259" s="4" t="s">
        <v>16</v>
      </c>
      <c r="F259" s="4" t="s">
        <v>32</v>
      </c>
      <c r="G259" s="4">
        <v>4.0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 t="s">
        <v>66</v>
      </c>
      <c r="B260" s="4" t="s">
        <v>33</v>
      </c>
      <c r="C260" s="4" t="s">
        <v>11</v>
      </c>
      <c r="D260" s="4">
        <v>3.0</v>
      </c>
      <c r="E260" s="4" t="s">
        <v>16</v>
      </c>
      <c r="F260" s="4" t="s">
        <v>33</v>
      </c>
      <c r="G260" s="4">
        <v>4.0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 t="s">
        <v>66</v>
      </c>
      <c r="B261" s="4" t="s">
        <v>34</v>
      </c>
      <c r="C261" s="4" t="s">
        <v>11</v>
      </c>
      <c r="D261" s="4">
        <v>1.0</v>
      </c>
      <c r="E261" s="4" t="s">
        <v>12</v>
      </c>
      <c r="F261" s="4" t="s">
        <v>34</v>
      </c>
      <c r="G261" s="4">
        <v>1.0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 t="s">
        <v>66</v>
      </c>
      <c r="B262" s="4" t="s">
        <v>35</v>
      </c>
      <c r="C262" s="4" t="s">
        <v>11</v>
      </c>
      <c r="D262" s="4">
        <v>1.0</v>
      </c>
      <c r="E262" s="4" t="s">
        <v>12</v>
      </c>
      <c r="F262" s="4" t="s">
        <v>35</v>
      </c>
      <c r="G262" s="4">
        <v>3.0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 t="s">
        <v>66</v>
      </c>
      <c r="B263" s="4" t="s">
        <v>36</v>
      </c>
      <c r="C263" s="4" t="s">
        <v>11</v>
      </c>
      <c r="D263" s="4">
        <v>3.0</v>
      </c>
      <c r="E263" s="4" t="s">
        <v>16</v>
      </c>
      <c r="F263" s="4" t="s">
        <v>36</v>
      </c>
      <c r="G263" s="4">
        <v>1.0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 t="s">
        <v>66</v>
      </c>
      <c r="B264" s="4" t="s">
        <v>37</v>
      </c>
      <c r="C264" s="4" t="s">
        <v>11</v>
      </c>
      <c r="D264" s="4">
        <v>3.0</v>
      </c>
      <c r="E264" s="4" t="s">
        <v>16</v>
      </c>
      <c r="F264" s="4" t="s">
        <v>37</v>
      </c>
      <c r="G264" s="4">
        <v>1.0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 t="s">
        <v>66</v>
      </c>
      <c r="B265" s="4" t="s">
        <v>38</v>
      </c>
      <c r="C265" s="4" t="s">
        <v>11</v>
      </c>
      <c r="D265" s="4">
        <v>1.0</v>
      </c>
      <c r="E265" s="4" t="s">
        <v>12</v>
      </c>
      <c r="F265" s="4" t="s">
        <v>38</v>
      </c>
      <c r="G265" s="4">
        <v>1.0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66</v>
      </c>
      <c r="B266" s="4" t="s">
        <v>39</v>
      </c>
      <c r="C266" s="4" t="s">
        <v>11</v>
      </c>
      <c r="D266" s="4">
        <v>3.0</v>
      </c>
      <c r="E266" s="4" t="s">
        <v>16</v>
      </c>
      <c r="F266" s="4" t="s">
        <v>39</v>
      </c>
      <c r="G266" s="4">
        <v>2.0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 t="s">
        <v>66</v>
      </c>
      <c r="B267" s="4" t="s">
        <v>40</v>
      </c>
      <c r="C267" s="4" t="s">
        <v>11</v>
      </c>
      <c r="D267" s="4">
        <v>2.0</v>
      </c>
      <c r="E267" s="4" t="s">
        <v>14</v>
      </c>
      <c r="F267" s="4" t="s">
        <v>40</v>
      </c>
      <c r="G267" s="4">
        <v>4.0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 t="s">
        <v>66</v>
      </c>
      <c r="B268" s="4" t="s">
        <v>41</v>
      </c>
      <c r="C268" s="4" t="s">
        <v>11</v>
      </c>
      <c r="D268" s="4">
        <v>2.0</v>
      </c>
      <c r="E268" s="4" t="s">
        <v>14</v>
      </c>
      <c r="F268" s="4" t="s">
        <v>41</v>
      </c>
      <c r="G268" s="4">
        <v>4.0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 t="s">
        <v>66</v>
      </c>
      <c r="B269" s="4" t="s">
        <v>42</v>
      </c>
      <c r="C269" s="4" t="s">
        <v>11</v>
      </c>
      <c r="D269" s="4">
        <v>1.0</v>
      </c>
      <c r="E269" s="4" t="s">
        <v>12</v>
      </c>
      <c r="F269" s="4" t="s">
        <v>42</v>
      </c>
      <c r="G269" s="4">
        <v>2.0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 t="s">
        <v>66</v>
      </c>
      <c r="B270" s="4" t="s">
        <v>43</v>
      </c>
      <c r="C270" s="4" t="s">
        <v>11</v>
      </c>
      <c r="D270" s="4">
        <v>3.0</v>
      </c>
      <c r="E270" s="4" t="s">
        <v>16</v>
      </c>
      <c r="F270" s="4" t="s">
        <v>43</v>
      </c>
      <c r="G270" s="4">
        <v>2.0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 t="s">
        <v>66</v>
      </c>
      <c r="B271" s="4" t="s">
        <v>44</v>
      </c>
      <c r="C271" s="4" t="s">
        <v>11</v>
      </c>
      <c r="D271" s="4">
        <v>1.0</v>
      </c>
      <c r="E271" s="4" t="s">
        <v>12</v>
      </c>
      <c r="F271" s="4" t="s">
        <v>44</v>
      </c>
      <c r="G271" s="4">
        <v>2.0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 t="s">
        <v>66</v>
      </c>
      <c r="B272" s="4" t="s">
        <v>45</v>
      </c>
      <c r="C272" s="4" t="s">
        <v>11</v>
      </c>
      <c r="D272" s="4">
        <v>3.0</v>
      </c>
      <c r="E272" s="4" t="s">
        <v>16</v>
      </c>
      <c r="F272" s="4" t="s">
        <v>45</v>
      </c>
      <c r="G272" s="4">
        <v>2.0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 t="s">
        <v>66</v>
      </c>
      <c r="B273" s="4" t="s">
        <v>46</v>
      </c>
      <c r="C273" s="4" t="s">
        <v>11</v>
      </c>
      <c r="D273" s="4">
        <v>1.0</v>
      </c>
      <c r="E273" s="4" t="s">
        <v>12</v>
      </c>
      <c r="F273" s="4" t="s">
        <v>46</v>
      </c>
      <c r="G273" s="4">
        <v>1.0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 t="s">
        <v>66</v>
      </c>
      <c r="B274" s="4" t="s">
        <v>47</v>
      </c>
      <c r="C274" s="4" t="s">
        <v>11</v>
      </c>
      <c r="D274" s="4">
        <v>1.0</v>
      </c>
      <c r="E274" s="4" t="s">
        <v>12</v>
      </c>
      <c r="F274" s="4" t="s">
        <v>47</v>
      </c>
      <c r="G274" s="4">
        <v>2.0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 t="s">
        <v>66</v>
      </c>
      <c r="B275" s="4" t="s">
        <v>48</v>
      </c>
      <c r="C275" s="4" t="s">
        <v>11</v>
      </c>
      <c r="D275" s="4">
        <v>3.0</v>
      </c>
      <c r="E275" s="4" t="s">
        <v>16</v>
      </c>
      <c r="F275" s="4" t="s">
        <v>48</v>
      </c>
      <c r="G275" s="4">
        <v>1.0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 t="s">
        <v>66</v>
      </c>
      <c r="B276" s="4" t="s">
        <v>49</v>
      </c>
      <c r="C276" s="4" t="s">
        <v>11</v>
      </c>
      <c r="D276" s="4">
        <v>2.0</v>
      </c>
      <c r="E276" s="4" t="s">
        <v>14</v>
      </c>
      <c r="F276" s="4" t="s">
        <v>49</v>
      </c>
      <c r="G276" s="4">
        <v>3.0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 t="s">
        <v>66</v>
      </c>
      <c r="B277" s="4" t="s">
        <v>50</v>
      </c>
      <c r="C277" s="4" t="s">
        <v>11</v>
      </c>
      <c r="D277" s="4">
        <v>3.0</v>
      </c>
      <c r="E277" s="4" t="s">
        <v>16</v>
      </c>
      <c r="F277" s="4" t="s">
        <v>50</v>
      </c>
      <c r="G277" s="4">
        <v>1.0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 t="s">
        <v>66</v>
      </c>
      <c r="B278" s="4" t="s">
        <v>51</v>
      </c>
      <c r="C278" s="4" t="s">
        <v>11</v>
      </c>
      <c r="D278" s="4">
        <v>1.0</v>
      </c>
      <c r="E278" s="4" t="s">
        <v>12</v>
      </c>
      <c r="F278" s="4" t="s">
        <v>51</v>
      </c>
      <c r="G278" s="4">
        <v>2.0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 t="s">
        <v>66</v>
      </c>
      <c r="B279" s="4" t="s">
        <v>52</v>
      </c>
      <c r="C279" s="4" t="s">
        <v>11</v>
      </c>
      <c r="D279" s="4">
        <v>2.0</v>
      </c>
      <c r="E279" s="4" t="s">
        <v>14</v>
      </c>
      <c r="F279" s="4" t="s">
        <v>52</v>
      </c>
      <c r="G279" s="4">
        <v>1.0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 t="s">
        <v>66</v>
      </c>
      <c r="B280" s="4" t="s">
        <v>53</v>
      </c>
      <c r="C280" s="4" t="s">
        <v>11</v>
      </c>
      <c r="D280" s="4">
        <v>2.0</v>
      </c>
      <c r="E280" s="4" t="s">
        <v>14</v>
      </c>
      <c r="F280" s="4" t="s">
        <v>53</v>
      </c>
      <c r="G280" s="4">
        <v>1.0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 t="s">
        <v>66</v>
      </c>
      <c r="B281" s="4" t="s">
        <v>54</v>
      </c>
      <c r="C281" s="4" t="s">
        <v>11</v>
      </c>
      <c r="D281" s="4">
        <v>2.0</v>
      </c>
      <c r="E281" s="4" t="s">
        <v>14</v>
      </c>
      <c r="F281" s="4" t="s">
        <v>54</v>
      </c>
      <c r="G281" s="4">
        <v>2.0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 t="s">
        <v>66</v>
      </c>
      <c r="B282" s="4" t="s">
        <v>55</v>
      </c>
      <c r="C282" s="4" t="s">
        <v>11</v>
      </c>
      <c r="D282" s="4">
        <v>3.0</v>
      </c>
      <c r="E282" s="4" t="s">
        <v>16</v>
      </c>
      <c r="F282" s="4" t="s">
        <v>55</v>
      </c>
      <c r="G282" s="4">
        <v>2.0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 t="s">
        <v>66</v>
      </c>
      <c r="B283" s="4" t="s">
        <v>56</v>
      </c>
      <c r="C283" s="4" t="s">
        <v>11</v>
      </c>
      <c r="D283" s="4">
        <v>3.0</v>
      </c>
      <c r="E283" s="4" t="s">
        <v>16</v>
      </c>
      <c r="F283" s="4" t="s">
        <v>56</v>
      </c>
      <c r="G283" s="4">
        <v>2.0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 t="s">
        <v>66</v>
      </c>
      <c r="B284" s="4" t="s">
        <v>57</v>
      </c>
      <c r="C284" s="4" t="s">
        <v>11</v>
      </c>
      <c r="D284" s="4">
        <v>1.0</v>
      </c>
      <c r="E284" s="4" t="s">
        <v>12</v>
      </c>
      <c r="F284" s="4" t="s">
        <v>57</v>
      </c>
      <c r="G284" s="4">
        <v>2.0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 t="s">
        <v>66</v>
      </c>
      <c r="B285" s="4" t="s">
        <v>58</v>
      </c>
      <c r="C285" s="4" t="s">
        <v>11</v>
      </c>
      <c r="D285" s="4">
        <v>1.0</v>
      </c>
      <c r="E285" s="4" t="s">
        <v>12</v>
      </c>
      <c r="F285" s="4" t="s">
        <v>58</v>
      </c>
      <c r="G285" s="4">
        <v>3.0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 t="s">
        <v>66</v>
      </c>
      <c r="B286" s="4" t="s">
        <v>59</v>
      </c>
      <c r="C286" s="4" t="s">
        <v>11</v>
      </c>
      <c r="D286" s="4">
        <v>3.0</v>
      </c>
      <c r="E286" s="4" t="s">
        <v>16</v>
      </c>
      <c r="F286" s="4" t="s">
        <v>59</v>
      </c>
      <c r="G286" s="4">
        <v>2.0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 t="s">
        <v>66</v>
      </c>
      <c r="B287" s="4" t="s">
        <v>60</v>
      </c>
      <c r="C287" s="4" t="s">
        <v>11</v>
      </c>
      <c r="D287" s="4">
        <v>3.0</v>
      </c>
      <c r="E287" s="4" t="s">
        <v>16</v>
      </c>
      <c r="F287" s="4" t="s">
        <v>60</v>
      </c>
      <c r="G287" s="4">
        <v>1.0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67</v>
      </c>
      <c r="B2" s="7">
        <v>73.0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68</v>
      </c>
      <c r="B3" s="7">
        <v>74.0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69</v>
      </c>
      <c r="B4" s="7">
        <v>69.0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70</v>
      </c>
      <c r="B5" s="7">
        <v>69.0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8">
        <v>1.0</v>
      </c>
      <c r="C7" s="8">
        <v>2.0</v>
      </c>
      <c r="D7" s="8">
        <v>3.0</v>
      </c>
      <c r="E7" s="8">
        <v>4.0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71</v>
      </c>
      <c r="B8" s="7">
        <v>12.0</v>
      </c>
      <c r="C8" s="7">
        <v>22.0</v>
      </c>
      <c r="D8" s="7">
        <v>20.0</v>
      </c>
      <c r="E8" s="7">
        <v>12.0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72</v>
      </c>
      <c r="B9" s="7">
        <v>20.0</v>
      </c>
      <c r="C9" s="7">
        <v>15.0</v>
      </c>
      <c r="D9" s="7">
        <v>9.0</v>
      </c>
      <c r="E9" s="7">
        <v>14.0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73</v>
      </c>
      <c r="B10" s="7">
        <v>41.0</v>
      </c>
      <c r="C10" s="7">
        <v>37.0</v>
      </c>
      <c r="D10" s="7">
        <v>40.0</v>
      </c>
      <c r="E10" s="7">
        <v>43.0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74</v>
      </c>
      <c r="B12" s="8" t="s">
        <v>75</v>
      </c>
      <c r="C12" s="8" t="s">
        <v>76</v>
      </c>
      <c r="D12" s="8" t="s">
        <v>77</v>
      </c>
      <c r="E12" s="8" t="s">
        <v>78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71</v>
      </c>
      <c r="B13" s="7">
        <f>12/73</f>
        <v>0.1643835616</v>
      </c>
      <c r="C13" s="7">
        <f>22/74</f>
        <v>0.2972972973</v>
      </c>
      <c r="D13" s="7">
        <f>20/69</f>
        <v>0.2898550725</v>
      </c>
      <c r="E13" s="7">
        <f>12/69</f>
        <v>0.1739130435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72</v>
      </c>
      <c r="B14" s="7">
        <f>20/73</f>
        <v>0.2739726027</v>
      </c>
      <c r="C14" s="7">
        <f>15/74</f>
        <v>0.2027027027</v>
      </c>
      <c r="D14" s="7">
        <f>9/69</f>
        <v>0.1304347826</v>
      </c>
      <c r="E14" s="7">
        <f>14/69</f>
        <v>0.2028985507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73</v>
      </c>
      <c r="B15" s="7">
        <f>41/73</f>
        <v>0.5616438356</v>
      </c>
      <c r="C15" s="7">
        <f>37/74</f>
        <v>0.5</v>
      </c>
      <c r="D15" s="7">
        <f>40/69</f>
        <v>0.5797101449</v>
      </c>
      <c r="E15" s="7">
        <f>43/69</f>
        <v>0.6231884058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74</v>
      </c>
      <c r="B17" s="8" t="s">
        <v>75</v>
      </c>
      <c r="C17" s="8" t="s">
        <v>76</v>
      </c>
      <c r="D17" s="8" t="s">
        <v>77</v>
      </c>
      <c r="E17" s="8" t="s">
        <v>78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 t="s">
        <v>71</v>
      </c>
      <c r="B18" s="6">
        <f t="shared" ref="B18:E18" si="1">B13*100</f>
        <v>16.43835616</v>
      </c>
      <c r="C18" s="6">
        <f t="shared" si="1"/>
        <v>29.72972973</v>
      </c>
      <c r="D18" s="6">
        <f t="shared" si="1"/>
        <v>28.98550725</v>
      </c>
      <c r="E18" s="6">
        <f t="shared" si="1"/>
        <v>17.39130435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72</v>
      </c>
      <c r="B19" s="6">
        <f t="shared" ref="B19:E19" si="2">B14*100</f>
        <v>27.39726027</v>
      </c>
      <c r="C19" s="6">
        <f t="shared" si="2"/>
        <v>20.27027027</v>
      </c>
      <c r="D19" s="6">
        <f t="shared" si="2"/>
        <v>13.04347826</v>
      </c>
      <c r="E19" s="6">
        <f t="shared" si="2"/>
        <v>20.28985507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73</v>
      </c>
      <c r="B20" s="6">
        <f t="shared" ref="B20:E20" si="3">B15*100</f>
        <v>56.16438356</v>
      </c>
      <c r="C20" s="6">
        <f t="shared" si="3"/>
        <v>50</v>
      </c>
      <c r="D20" s="6">
        <f t="shared" si="3"/>
        <v>57.97101449</v>
      </c>
      <c r="E20" s="6">
        <f t="shared" si="3"/>
        <v>62.31884058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B21" s="6">
        <f t="shared" ref="B21:E21" si="4">SUM(B18:B20)</f>
        <v>100</v>
      </c>
      <c r="C21" s="6">
        <f t="shared" si="4"/>
        <v>100</v>
      </c>
      <c r="D21" s="6">
        <f t="shared" si="4"/>
        <v>100</v>
      </c>
      <c r="E21" s="6">
        <f t="shared" si="4"/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 t="s">
        <v>74</v>
      </c>
      <c r="B23" s="8" t="s">
        <v>79</v>
      </c>
      <c r="C23" s="8" t="s">
        <v>80</v>
      </c>
      <c r="D23" s="8" t="s">
        <v>81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82</v>
      </c>
      <c r="B24" s="6">
        <v>16.43835616438356</v>
      </c>
      <c r="C24" s="6">
        <v>27.397260273972602</v>
      </c>
      <c r="D24" s="6">
        <v>56.16438356164384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83</v>
      </c>
      <c r="B25" s="6">
        <v>29.72972972972973</v>
      </c>
      <c r="C25" s="6">
        <v>20.27027027027027</v>
      </c>
      <c r="D25" s="6">
        <v>50.0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84</v>
      </c>
      <c r="B26" s="6">
        <v>28.985507246376812</v>
      </c>
      <c r="C26" s="6">
        <v>13.043478260869565</v>
      </c>
      <c r="D26" s="6">
        <v>57.971014492753625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85</v>
      </c>
      <c r="B27" s="6">
        <v>17.391304347826086</v>
      </c>
      <c r="C27" s="6">
        <v>20.28985507246377</v>
      </c>
      <c r="D27" s="6">
        <v>62.31884057971014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67</v>
      </c>
      <c r="B2" s="7">
        <v>73.0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68</v>
      </c>
      <c r="B3" s="7">
        <v>74.0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69</v>
      </c>
      <c r="B4" s="7">
        <v>69.0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70</v>
      </c>
      <c r="B5" s="7">
        <v>69.0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/>
      <c r="B7" s="8">
        <v>1.0</v>
      </c>
      <c r="C7" s="8">
        <v>2.0</v>
      </c>
      <c r="D7" s="8">
        <v>3.0</v>
      </c>
      <c r="E7" s="8">
        <v>4.0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 t="s">
        <v>71</v>
      </c>
      <c r="B8" s="7">
        <v>12.0</v>
      </c>
      <c r="C8" s="7">
        <v>22.0</v>
      </c>
      <c r="D8" s="7">
        <v>20.0</v>
      </c>
      <c r="E8" s="7">
        <v>12.0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72</v>
      </c>
      <c r="B9" s="7">
        <v>20.0</v>
      </c>
      <c r="C9" s="7">
        <v>15.0</v>
      </c>
      <c r="D9" s="7">
        <v>9.0</v>
      </c>
      <c r="E9" s="7">
        <v>14.0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73</v>
      </c>
      <c r="B10" s="7">
        <v>41.0</v>
      </c>
      <c r="C10" s="7">
        <v>37.0</v>
      </c>
      <c r="D10" s="7">
        <v>40.0</v>
      </c>
      <c r="E10" s="7">
        <v>43.0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74</v>
      </c>
      <c r="B12" s="8" t="s">
        <v>75</v>
      </c>
      <c r="C12" s="8" t="s">
        <v>76</v>
      </c>
      <c r="D12" s="8" t="s">
        <v>77</v>
      </c>
      <c r="E12" s="8" t="s">
        <v>78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 t="s">
        <v>71</v>
      </c>
      <c r="B13" s="7">
        <f>12/73</f>
        <v>0.1643835616</v>
      </c>
      <c r="C13" s="7">
        <f>22/74</f>
        <v>0.2972972973</v>
      </c>
      <c r="D13" s="7">
        <f>20/69</f>
        <v>0.2898550725</v>
      </c>
      <c r="E13" s="7">
        <f>12/69</f>
        <v>0.1739130435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 t="s">
        <v>72</v>
      </c>
      <c r="B14" s="7">
        <f>20/73</f>
        <v>0.2739726027</v>
      </c>
      <c r="C14" s="7">
        <f>15/74</f>
        <v>0.2027027027</v>
      </c>
      <c r="D14" s="7">
        <f>9/69</f>
        <v>0.1304347826</v>
      </c>
      <c r="E14" s="7">
        <f>14/69</f>
        <v>0.2028985507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 t="s">
        <v>73</v>
      </c>
      <c r="B15" s="7">
        <f>41/73</f>
        <v>0.5616438356</v>
      </c>
      <c r="C15" s="7">
        <f>37/74</f>
        <v>0.5</v>
      </c>
      <c r="D15" s="7">
        <f>40/69</f>
        <v>0.5797101449</v>
      </c>
      <c r="E15" s="7">
        <f>43/69</f>
        <v>0.6231884058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 t="s">
        <v>74</v>
      </c>
      <c r="B17" s="8" t="s">
        <v>75</v>
      </c>
      <c r="C17" s="8" t="s">
        <v>76</v>
      </c>
      <c r="D17" s="8" t="s">
        <v>77</v>
      </c>
      <c r="E17" s="8" t="s">
        <v>78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 t="s">
        <v>71</v>
      </c>
      <c r="B18" s="6">
        <f t="shared" ref="B18:E18" si="1">B13*100</f>
        <v>16.43835616</v>
      </c>
      <c r="C18" s="6">
        <f t="shared" si="1"/>
        <v>29.72972973</v>
      </c>
      <c r="D18" s="6">
        <f t="shared" si="1"/>
        <v>28.98550725</v>
      </c>
      <c r="E18" s="6">
        <f t="shared" si="1"/>
        <v>17.39130435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 t="s">
        <v>72</v>
      </c>
      <c r="B19" s="6">
        <f t="shared" ref="B19:E19" si="2">B14*100</f>
        <v>27.39726027</v>
      </c>
      <c r="C19" s="6">
        <f t="shared" si="2"/>
        <v>20.27027027</v>
      </c>
      <c r="D19" s="6">
        <f t="shared" si="2"/>
        <v>13.04347826</v>
      </c>
      <c r="E19" s="6">
        <f t="shared" si="2"/>
        <v>20.28985507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73</v>
      </c>
      <c r="B20" s="6">
        <f t="shared" ref="B20:E20" si="3">B15*100</f>
        <v>56.16438356</v>
      </c>
      <c r="C20" s="6">
        <f t="shared" si="3"/>
        <v>50</v>
      </c>
      <c r="D20" s="6">
        <f t="shared" si="3"/>
        <v>57.97101449</v>
      </c>
      <c r="E20" s="6">
        <f t="shared" si="3"/>
        <v>62.31884058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B21" s="6">
        <f t="shared" ref="B21:E21" si="4">SUM(B18:B20)</f>
        <v>100</v>
      </c>
      <c r="C21" s="6">
        <f t="shared" si="4"/>
        <v>100</v>
      </c>
      <c r="D21" s="6">
        <f t="shared" si="4"/>
        <v>100</v>
      </c>
      <c r="E21" s="6">
        <f t="shared" si="4"/>
        <v>100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 t="s">
        <v>74</v>
      </c>
      <c r="B23" s="8" t="s">
        <v>79</v>
      </c>
      <c r="C23" s="8" t="s">
        <v>80</v>
      </c>
      <c r="D23" s="8" t="s">
        <v>81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 t="s">
        <v>82</v>
      </c>
      <c r="B24" s="6">
        <v>16.43835616438356</v>
      </c>
      <c r="C24" s="6">
        <v>27.397260273972602</v>
      </c>
      <c r="D24" s="6">
        <v>56.16438356164384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 t="s">
        <v>83</v>
      </c>
      <c r="B25" s="6">
        <v>29.72972972972973</v>
      </c>
      <c r="C25" s="6">
        <v>20.27027027027027</v>
      </c>
      <c r="D25" s="6">
        <v>50.0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 t="s">
        <v>84</v>
      </c>
      <c r="B26" s="6">
        <v>28.985507246376812</v>
      </c>
      <c r="C26" s="6">
        <v>13.043478260869565</v>
      </c>
      <c r="D26" s="6">
        <v>57.971014492753625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 t="s">
        <v>85</v>
      </c>
      <c r="B27" s="6">
        <v>17.391304347826086</v>
      </c>
      <c r="C27" s="6">
        <v>20.28985507246377</v>
      </c>
      <c r="D27" s="6">
        <v>62.31884057971014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9" t="s">
        <v>86</v>
      </c>
      <c r="B1" s="9" t="s">
        <v>87</v>
      </c>
      <c r="C1" s="2" t="s">
        <v>7</v>
      </c>
      <c r="D1" s="2" t="s">
        <v>8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10</v>
      </c>
      <c r="B2" s="10">
        <f>average(2,1,1,1,1,1)</f>
        <v>1.166666667</v>
      </c>
      <c r="C2" s="4">
        <v>4.754901961</v>
      </c>
      <c r="D2" s="4">
        <v>2.306930693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13</v>
      </c>
      <c r="B3" s="10">
        <f>average(1,2,4,1,3,1)</f>
        <v>2</v>
      </c>
      <c r="C3" s="4">
        <v>4.537037037</v>
      </c>
      <c r="D3" s="4">
        <v>2.644230769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 t="s">
        <v>15</v>
      </c>
      <c r="B4" s="10">
        <f>average(4,3,3,3,4,3)</f>
        <v>3.333333333</v>
      </c>
      <c r="C4" s="4">
        <v>2.333333333</v>
      </c>
      <c r="D4" s="4">
        <v>4.163461538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17</v>
      </c>
      <c r="B5" s="10">
        <f>average(3,4,3,4,2,2)</f>
        <v>3</v>
      </c>
      <c r="C5" s="4">
        <v>2.722222222</v>
      </c>
      <c r="D5" s="4">
        <v>3.769230769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 t="s">
        <v>18</v>
      </c>
      <c r="B6" s="10">
        <f>average(2,2,2,1,2,1)</f>
        <v>1.666666667</v>
      </c>
      <c r="C6" s="4">
        <v>4.871287129</v>
      </c>
      <c r="D6" s="4">
        <v>3.009708738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 t="s">
        <v>19</v>
      </c>
      <c r="B7" s="11">
        <v>1.0</v>
      </c>
      <c r="C7" s="4">
        <v>4.257425743</v>
      </c>
      <c r="D7" s="4">
        <v>2.203883495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 t="s">
        <v>20</v>
      </c>
      <c r="B8" s="10">
        <f>average(3,2,3,1,4,1)</f>
        <v>2.333333333</v>
      </c>
      <c r="C8" s="4">
        <v>4.416666667</v>
      </c>
      <c r="D8" s="4">
        <v>3.778846154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 t="s">
        <v>21</v>
      </c>
      <c r="B9" s="10">
        <f t="shared" ref="B9:B10" si="1">average(1,2,4,2,3,1)</f>
        <v>2.166666667</v>
      </c>
      <c r="C9" s="4">
        <v>5.0</v>
      </c>
      <c r="D9" s="4">
        <v>3.038834951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 t="s">
        <v>22</v>
      </c>
      <c r="B10" s="10">
        <f t="shared" si="1"/>
        <v>2.166666667</v>
      </c>
      <c r="C10" s="4">
        <v>5.225490196</v>
      </c>
      <c r="D10" s="4">
        <v>4.326732673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 t="s">
        <v>23</v>
      </c>
      <c r="B11" s="10">
        <f>average(1,4,3,4,4,2)</f>
        <v>3</v>
      </c>
      <c r="C11" s="4">
        <v>1.972222222</v>
      </c>
      <c r="D11" s="4">
        <v>4.086538462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 t="s">
        <v>24</v>
      </c>
      <c r="B12" s="10">
        <f>average(3,3,3,4,4,2)</f>
        <v>3.166666667</v>
      </c>
      <c r="C12" s="4">
        <v>1.99009901</v>
      </c>
      <c r="D12" s="4">
        <v>4.213592233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 t="s">
        <v>25</v>
      </c>
      <c r="B13" s="10">
        <f>average(3,2,3,2,3,3)</f>
        <v>2.666666667</v>
      </c>
      <c r="C13" s="4">
        <v>5.185185185</v>
      </c>
      <c r="D13" s="4">
        <v>3.384615385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 t="s">
        <v>26</v>
      </c>
      <c r="B14" s="10">
        <f>average(4,2,2,1,3,1)</f>
        <v>2.166666667</v>
      </c>
      <c r="C14" s="4">
        <v>2.821782178</v>
      </c>
      <c r="D14" s="4">
        <v>3.650485437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 t="s">
        <v>27</v>
      </c>
      <c r="B15" s="10">
        <f>average(2,2,2,3,3,4)</f>
        <v>2.666666667</v>
      </c>
      <c r="C15" s="4">
        <v>2.058823529</v>
      </c>
      <c r="D15" s="4">
        <v>4.346534653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 t="s">
        <v>28</v>
      </c>
      <c r="B16" s="11">
        <v>4.0</v>
      </c>
      <c r="C16" s="4">
        <v>1.198019802</v>
      </c>
      <c r="D16" s="4">
        <v>4.514563107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 t="s">
        <v>62</v>
      </c>
      <c r="B17" s="10">
        <f>average(2,2,2,3,1)</f>
        <v>2</v>
      </c>
      <c r="C17" s="4">
        <v>1.607843137</v>
      </c>
      <c r="D17" s="4">
        <v>4.98019802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 t="s">
        <v>29</v>
      </c>
      <c r="B18" s="10">
        <f>average(4,3,4,1,4,4)</f>
        <v>3.333333333</v>
      </c>
      <c r="C18" s="4">
        <v>1.892156863</v>
      </c>
      <c r="D18" s="4">
        <v>4.772277228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 t="s">
        <v>30</v>
      </c>
      <c r="B19" s="10">
        <f>average(4,4,2,2,4,3)</f>
        <v>3.166666667</v>
      </c>
      <c r="C19" s="4">
        <v>2.647058824</v>
      </c>
      <c r="D19" s="4">
        <v>5.089108911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1" t="s">
        <v>31</v>
      </c>
      <c r="B20" s="10">
        <f>average(3,2,3,2,3,1)</f>
        <v>2.333333333</v>
      </c>
      <c r="C20" s="4">
        <v>4.833333333</v>
      </c>
      <c r="D20" s="4">
        <v>4.297029703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 t="s">
        <v>32</v>
      </c>
      <c r="B21" s="10">
        <f>average(4,2,3,2,4,4)</f>
        <v>3.166666667</v>
      </c>
      <c r="C21" s="4">
        <v>2.009803922</v>
      </c>
      <c r="D21" s="4">
        <v>3.524752475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33</v>
      </c>
      <c r="B22" s="10">
        <f>average(3,4,4,2,4,4)</f>
        <v>3.5</v>
      </c>
      <c r="C22" s="4">
        <v>1.470588235</v>
      </c>
      <c r="D22" s="4">
        <v>5.148514851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 t="s">
        <v>34</v>
      </c>
      <c r="B23" s="10">
        <f>average(3,3,3,1,3,1)</f>
        <v>2.333333333</v>
      </c>
      <c r="C23" s="4">
        <v>4.768518519</v>
      </c>
      <c r="D23" s="4">
        <v>3.576923077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" t="s">
        <v>35</v>
      </c>
      <c r="B24" s="10">
        <f>average(3,3,4,2,3,3)</f>
        <v>3</v>
      </c>
      <c r="C24" s="4">
        <v>5.107843137</v>
      </c>
      <c r="D24" s="4">
        <v>3.376237624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 t="s">
        <v>36</v>
      </c>
      <c r="B25" s="10">
        <f>average(2,2,4,1,3,1)</f>
        <v>2.166666667</v>
      </c>
      <c r="C25" s="4">
        <v>5.158415842</v>
      </c>
      <c r="D25" s="4">
        <v>2.854368932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" t="s">
        <v>37</v>
      </c>
      <c r="B26" s="10">
        <f>average(4,2,3,1,4,1)</f>
        <v>2.5</v>
      </c>
      <c r="C26" s="4">
        <v>2.921568627</v>
      </c>
      <c r="D26" s="4">
        <v>4.118811881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 t="s">
        <v>38</v>
      </c>
      <c r="B27" s="10">
        <f>average(3,2,2,1,4,1)</f>
        <v>2.166666667</v>
      </c>
      <c r="C27" s="4">
        <v>4.941176471</v>
      </c>
      <c r="D27" s="4">
        <v>3.574257426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1" t="s">
        <v>39</v>
      </c>
      <c r="B28" s="10">
        <f>average(1,2,1,1,4,2)</f>
        <v>1.833333333</v>
      </c>
      <c r="C28" s="4">
        <v>4.703703704</v>
      </c>
      <c r="D28" s="4">
        <v>3.490384615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 t="s">
        <v>40</v>
      </c>
      <c r="B29" s="10">
        <f>average(3,2,3,3,2,4)</f>
        <v>2.833333333</v>
      </c>
      <c r="C29" s="4">
        <v>4.694444444</v>
      </c>
      <c r="D29" s="4">
        <v>3.201923077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1" t="s">
        <v>41</v>
      </c>
      <c r="B30" s="10">
        <f>average(4,2,4,4,4,4)</f>
        <v>3.666666667</v>
      </c>
      <c r="C30" s="4">
        <v>2.324074074</v>
      </c>
      <c r="D30" s="4">
        <v>3.817307692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 t="s">
        <v>42</v>
      </c>
      <c r="B31" s="10">
        <f>average(4,4,1,2,4,2)</f>
        <v>2.833333333</v>
      </c>
      <c r="C31" s="4">
        <v>2.598039216</v>
      </c>
      <c r="D31" s="4">
        <v>4.00990099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 t="s">
        <v>43</v>
      </c>
      <c r="B32" s="10">
        <f>average(3,3,2,4,4,2)</f>
        <v>3</v>
      </c>
      <c r="C32" s="4">
        <v>2.235294118</v>
      </c>
      <c r="D32" s="4">
        <v>4.128712871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 t="s">
        <v>44</v>
      </c>
      <c r="B33" s="10">
        <f>average(3,2,2,1,4,2)</f>
        <v>2.333333333</v>
      </c>
      <c r="C33" s="4">
        <v>2.388888889</v>
      </c>
      <c r="D33" s="4">
        <v>4.567307692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 t="s">
        <v>45</v>
      </c>
      <c r="B34" s="10">
        <f>average(2,2,4,1,4,2)</f>
        <v>2.5</v>
      </c>
      <c r="C34" s="4">
        <v>4.990740741</v>
      </c>
      <c r="D34" s="4">
        <v>4.115384615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46</v>
      </c>
      <c r="B35" s="10">
        <f>average(2,1,2,1,2,1)</f>
        <v>1.5</v>
      </c>
      <c r="C35" s="4">
        <v>5.147058824</v>
      </c>
      <c r="D35" s="4">
        <v>3.148514851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 t="s">
        <v>47</v>
      </c>
      <c r="B36" s="10">
        <f>average(3,4,4,4,4,2)</f>
        <v>3.5</v>
      </c>
      <c r="C36" s="4">
        <v>1.673267327</v>
      </c>
      <c r="D36" s="4">
        <v>4.368932039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 t="s">
        <v>48</v>
      </c>
      <c r="B37" s="10">
        <f>average(2,3,1,2,1)</f>
        <v>1.8</v>
      </c>
      <c r="C37" s="4">
        <v>4.068627451</v>
      </c>
      <c r="D37" s="4">
        <v>4.445544554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 t="s">
        <v>49</v>
      </c>
      <c r="B38" s="10">
        <f>average(2,3,3,2,4,3)</f>
        <v>2.833333333</v>
      </c>
      <c r="C38" s="4">
        <v>1.916666667</v>
      </c>
      <c r="D38" s="4">
        <v>4.173076923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 t="s">
        <v>50</v>
      </c>
      <c r="B39" s="10">
        <f>average(3,2,1,1,1)</f>
        <v>1.6</v>
      </c>
      <c r="C39" s="4">
        <v>4.568627451</v>
      </c>
      <c r="D39" s="4">
        <v>2.415841584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 t="s">
        <v>51</v>
      </c>
      <c r="B40" s="10">
        <f>average(1,1,1,1,2,2)</f>
        <v>1.333333333</v>
      </c>
      <c r="C40" s="4">
        <v>4.12962963</v>
      </c>
      <c r="D40" s="4">
        <v>2.25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 t="s">
        <v>52</v>
      </c>
      <c r="B41" s="10">
        <f>average(1,1,2,1,3,1)</f>
        <v>1.5</v>
      </c>
      <c r="C41" s="4">
        <v>4.564814815</v>
      </c>
      <c r="D41" s="4">
        <v>2.336538462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 t="s">
        <v>53</v>
      </c>
      <c r="B42" s="10">
        <f>average(2,1,2,1,4,1)</f>
        <v>1.833333333</v>
      </c>
      <c r="C42" s="4">
        <v>5.009803922</v>
      </c>
      <c r="D42" s="4">
        <v>2.732673267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 t="s">
        <v>54</v>
      </c>
      <c r="B43" s="10">
        <f>average(3,3,2,3,3,2)</f>
        <v>2.666666667</v>
      </c>
      <c r="C43" s="4">
        <v>2.509259259</v>
      </c>
      <c r="D43" s="4">
        <v>3.932692308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 t="s">
        <v>55</v>
      </c>
      <c r="B44" s="10">
        <f>average(3,3,1,4,3,2)</f>
        <v>2.666666667</v>
      </c>
      <c r="C44" s="4">
        <v>2.901960784</v>
      </c>
      <c r="D44" s="4">
        <v>4.702970297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 t="s">
        <v>56</v>
      </c>
      <c r="B45" s="10">
        <f>average(1,2,3,1,1,2)</f>
        <v>1.666666667</v>
      </c>
      <c r="C45" s="4">
        <v>4.754901961</v>
      </c>
      <c r="D45" s="4">
        <v>3.732673267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1" t="s">
        <v>57</v>
      </c>
      <c r="B46" s="10">
        <f>average(4,4,3,1,4,2)</f>
        <v>3</v>
      </c>
      <c r="C46" s="4">
        <v>2.098039216</v>
      </c>
      <c r="D46" s="4">
        <v>5.059405941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 t="s">
        <v>58</v>
      </c>
      <c r="B47" s="10">
        <f>average(4,4,3,4,4,3)</f>
        <v>3.666666667</v>
      </c>
      <c r="C47" s="4">
        <v>1.392156863</v>
      </c>
      <c r="D47" s="4">
        <v>5.01980198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1" t="s">
        <v>59</v>
      </c>
      <c r="B48" s="10">
        <f>average(3,3,3,3,4,2)</f>
        <v>3</v>
      </c>
      <c r="C48" s="4">
        <v>1.715686275</v>
      </c>
      <c r="D48" s="4">
        <v>5.138613861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 t="s">
        <v>60</v>
      </c>
      <c r="B49" s="10">
        <f>average(1,2,3,1,1,1)</f>
        <v>1.5</v>
      </c>
      <c r="C49" s="4">
        <v>4.898148148</v>
      </c>
      <c r="D49" s="4">
        <v>2.5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0.0"/>
    <col customWidth="1" min="4" max="4" width="14.38"/>
    <col customWidth="1" min="5" max="5" width="14.5"/>
    <col customWidth="1" min="6" max="6" width="17.38"/>
    <col customWidth="1" min="7" max="7" width="14.0"/>
    <col customWidth="1" min="11" max="11" width="16.13"/>
    <col customWidth="1" min="14" max="14" width="15.25"/>
    <col customWidth="1" min="20" max="20" width="14.63"/>
  </cols>
  <sheetData>
    <row r="1">
      <c r="A1" s="12" t="s">
        <v>88</v>
      </c>
      <c r="B1" s="12" t="s">
        <v>89</v>
      </c>
      <c r="C1" s="12" t="s">
        <v>90</v>
      </c>
      <c r="D1" s="12" t="s">
        <v>91</v>
      </c>
      <c r="E1" s="12" t="s">
        <v>92</v>
      </c>
      <c r="F1" s="12" t="s">
        <v>93</v>
      </c>
      <c r="G1" s="12" t="s">
        <v>94</v>
      </c>
      <c r="H1" s="13" t="s">
        <v>95</v>
      </c>
      <c r="I1" s="12" t="s">
        <v>96</v>
      </c>
      <c r="J1" s="12" t="s">
        <v>97</v>
      </c>
      <c r="K1" s="12" t="s">
        <v>98</v>
      </c>
      <c r="L1" s="12" t="s">
        <v>99</v>
      </c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</row>
    <row r="2">
      <c r="A2" s="4">
        <v>12.0</v>
      </c>
      <c r="B2" s="4">
        <v>20.0</v>
      </c>
      <c r="C2" s="4">
        <v>41.0</v>
      </c>
      <c r="D2" s="4">
        <v>22.0</v>
      </c>
      <c r="E2" s="4">
        <v>15.0</v>
      </c>
      <c r="F2" s="4">
        <v>37.0</v>
      </c>
      <c r="G2" s="4">
        <v>20.0</v>
      </c>
      <c r="H2" s="4">
        <v>9.0</v>
      </c>
      <c r="I2" s="4">
        <v>37.0</v>
      </c>
      <c r="J2" s="4">
        <v>12.0</v>
      </c>
      <c r="K2" s="4">
        <v>14.0</v>
      </c>
      <c r="L2" s="4">
        <v>43.0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100</v>
      </c>
      <c r="B4" s="12" t="s">
        <v>88</v>
      </c>
      <c r="C4" s="12" t="s">
        <v>89</v>
      </c>
      <c r="D4" s="12" t="s">
        <v>90</v>
      </c>
      <c r="E4" s="12" t="s">
        <v>91</v>
      </c>
      <c r="F4" s="12" t="s">
        <v>92</v>
      </c>
      <c r="G4" s="12" t="s">
        <v>93</v>
      </c>
      <c r="H4" s="13" t="s">
        <v>94</v>
      </c>
      <c r="I4" s="13" t="s">
        <v>95</v>
      </c>
      <c r="J4" s="13" t="s">
        <v>96</v>
      </c>
      <c r="K4" s="13" t="s">
        <v>97</v>
      </c>
      <c r="L4" s="13" t="s">
        <v>98</v>
      </c>
      <c r="M4" s="13" t="s">
        <v>99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 t="s">
        <v>9</v>
      </c>
      <c r="B5" s="14">
        <v>0.0</v>
      </c>
      <c r="C5" s="14">
        <v>4.0</v>
      </c>
      <c r="D5" s="14">
        <v>6.0</v>
      </c>
      <c r="E5" s="14">
        <v>1.0</v>
      </c>
      <c r="F5" s="14">
        <v>0.0</v>
      </c>
      <c r="G5" s="14">
        <v>8.0</v>
      </c>
      <c r="H5" s="15">
        <v>3.0</v>
      </c>
      <c r="I5" s="15">
        <v>2.0</v>
      </c>
      <c r="J5" s="15">
        <v>12.0</v>
      </c>
      <c r="K5" s="15">
        <v>1.0</v>
      </c>
      <c r="L5" s="15">
        <v>2.0</v>
      </c>
      <c r="M5" s="15">
        <v>8.0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61</v>
      </c>
      <c r="B6" s="16">
        <v>1.0</v>
      </c>
      <c r="C6" s="16">
        <v>1.0</v>
      </c>
      <c r="D6" s="14">
        <v>5.0</v>
      </c>
      <c r="E6" s="14">
        <v>8.0</v>
      </c>
      <c r="F6" s="14">
        <v>6.0</v>
      </c>
      <c r="G6" s="14">
        <v>7.0</v>
      </c>
      <c r="H6" s="15">
        <v>3.0</v>
      </c>
      <c r="I6" s="15">
        <v>0.0</v>
      </c>
      <c r="J6" s="15">
        <v>7.0</v>
      </c>
      <c r="K6" s="15">
        <v>1.0</v>
      </c>
      <c r="L6" s="15">
        <v>1.0</v>
      </c>
      <c r="M6" s="15">
        <v>7.0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63</v>
      </c>
      <c r="B7" s="16">
        <v>2.0</v>
      </c>
      <c r="C7" s="16">
        <v>1.0</v>
      </c>
      <c r="D7" s="14">
        <v>4.0</v>
      </c>
      <c r="E7" s="14">
        <v>3.0</v>
      </c>
      <c r="F7" s="14">
        <v>3.0</v>
      </c>
      <c r="G7" s="14">
        <v>7.0</v>
      </c>
      <c r="H7" s="15">
        <v>7.0</v>
      </c>
      <c r="I7" s="15">
        <v>4.0</v>
      </c>
      <c r="J7" s="15">
        <v>7.0</v>
      </c>
      <c r="K7" s="15">
        <v>1.0</v>
      </c>
      <c r="L7" s="15">
        <v>2.0</v>
      </c>
      <c r="M7" s="15">
        <v>7.0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 t="s">
        <v>64</v>
      </c>
      <c r="B8" s="16">
        <v>4.0</v>
      </c>
      <c r="C8" s="16">
        <v>11.0</v>
      </c>
      <c r="D8" s="14">
        <v>9.0</v>
      </c>
      <c r="E8" s="14">
        <v>2.0</v>
      </c>
      <c r="F8" s="14">
        <v>4.0</v>
      </c>
      <c r="G8" s="14">
        <v>4.0</v>
      </c>
      <c r="H8" s="15">
        <v>1.0</v>
      </c>
      <c r="I8" s="15">
        <v>1.0</v>
      </c>
      <c r="J8" s="15">
        <v>3.0</v>
      </c>
      <c r="K8" s="15">
        <v>2.0</v>
      </c>
      <c r="L8" s="15">
        <v>4.0</v>
      </c>
      <c r="M8" s="15">
        <v>3.0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65</v>
      </c>
      <c r="B9" s="16">
        <v>0.0</v>
      </c>
      <c r="C9" s="16">
        <v>0.0</v>
      </c>
      <c r="D9" s="14">
        <v>5.0</v>
      </c>
      <c r="E9" s="14">
        <v>2.0</v>
      </c>
      <c r="F9" s="14">
        <v>1.0</v>
      </c>
      <c r="G9" s="14">
        <v>3.0</v>
      </c>
      <c r="H9" s="15">
        <v>3.0</v>
      </c>
      <c r="I9" s="15">
        <v>0.0</v>
      </c>
      <c r="J9" s="15">
        <v>10.0</v>
      </c>
      <c r="K9" s="15">
        <v>4.0</v>
      </c>
      <c r="L9" s="15">
        <v>3.0</v>
      </c>
      <c r="M9" s="15">
        <v>16.0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 t="s">
        <v>66</v>
      </c>
      <c r="B10" s="16">
        <v>5.0</v>
      </c>
      <c r="C10" s="16">
        <v>3.0</v>
      </c>
      <c r="D10" s="14">
        <v>12.0</v>
      </c>
      <c r="E10" s="14">
        <v>6.0</v>
      </c>
      <c r="F10" s="14">
        <v>1.0</v>
      </c>
      <c r="G10" s="14">
        <v>8.0</v>
      </c>
      <c r="H10" s="15">
        <v>3.0</v>
      </c>
      <c r="I10" s="15">
        <v>2.0</v>
      </c>
      <c r="J10" s="15">
        <v>1.0</v>
      </c>
      <c r="K10" s="15">
        <v>3.0</v>
      </c>
      <c r="L10" s="15">
        <v>2.0</v>
      </c>
      <c r="M10" s="15">
        <v>2.0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4"/>
      <c r="C11" s="4"/>
      <c r="D11" s="4"/>
      <c r="E11" s="4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4"/>
      <c r="C12" s="4"/>
      <c r="D12" s="4"/>
      <c r="E12" s="4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4"/>
      <c r="C15" s="4"/>
      <c r="D15" s="4"/>
      <c r="E15" s="4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4"/>
      <c r="D16" s="4"/>
      <c r="E16" s="4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4"/>
      <c r="C17" s="4"/>
      <c r="D17" s="4"/>
      <c r="E17" s="4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4"/>
      <c r="C18" s="4"/>
      <c r="D18" s="4"/>
      <c r="E18" s="4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4"/>
      <c r="C19" s="4"/>
      <c r="D19" s="4"/>
      <c r="E19" s="4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4"/>
      <c r="C20" s="4"/>
      <c r="D20" s="4"/>
      <c r="E20" s="4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4"/>
      <c r="C21" s="4"/>
      <c r="D21" s="4"/>
      <c r="E21" s="4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4"/>
      <c r="C22" s="4"/>
      <c r="D22" s="4"/>
      <c r="E22" s="4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4"/>
      <c r="C23" s="4"/>
      <c r="D23" s="4"/>
      <c r="E23" s="4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4"/>
      <c r="C24" s="4"/>
      <c r="D24" s="4"/>
      <c r="E24" s="4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4"/>
      <c r="C25" s="4"/>
      <c r="D25" s="4"/>
      <c r="E25" s="4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4"/>
      <c r="C26" s="4"/>
      <c r="D26" s="4"/>
      <c r="E26" s="4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4"/>
      <c r="C27" s="4"/>
      <c r="D27" s="4"/>
      <c r="E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4"/>
      <c r="C28" s="4"/>
      <c r="D28" s="4"/>
      <c r="E28" s="4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4"/>
      <c r="C29" s="4"/>
      <c r="D29" s="4"/>
      <c r="E29" s="4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4"/>
      <c r="C30" s="4"/>
      <c r="D30" s="4"/>
      <c r="E30" s="4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4"/>
      <c r="C31" s="4"/>
      <c r="D31" s="4"/>
      <c r="E31" s="4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4"/>
      <c r="C32" s="4"/>
      <c r="D32" s="4"/>
      <c r="E32" s="4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4"/>
      <c r="C33" s="4"/>
      <c r="D33" s="4"/>
      <c r="E33" s="4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4"/>
      <c r="C34" s="4"/>
      <c r="D34" s="4"/>
      <c r="E34" s="4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4"/>
      <c r="C35" s="4"/>
      <c r="D35" s="4"/>
      <c r="E35" s="4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4"/>
      <c r="C36" s="4"/>
      <c r="D36" s="4"/>
      <c r="E36" s="4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4"/>
      <c r="C37" s="4"/>
      <c r="D37" s="4"/>
      <c r="E37" s="4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4"/>
      <c r="C38" s="4"/>
      <c r="D38" s="4"/>
      <c r="E38" s="4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4"/>
      <c r="C39" s="4"/>
      <c r="D39" s="4"/>
      <c r="E39" s="4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4"/>
      <c r="C40" s="4"/>
      <c r="D40" s="4"/>
      <c r="E40" s="4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4"/>
      <c r="C41" s="4"/>
      <c r="D41" s="4"/>
      <c r="E41" s="4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4"/>
      <c r="C42" s="4"/>
      <c r="D42" s="4"/>
      <c r="E42" s="4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4"/>
      <c r="C43" s="4"/>
      <c r="D43" s="4"/>
      <c r="E43" s="4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4"/>
      <c r="C44" s="4"/>
      <c r="D44" s="4"/>
      <c r="E44" s="4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4"/>
      <c r="C45" s="4"/>
      <c r="D45" s="4"/>
      <c r="E45" s="4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4"/>
      <c r="C46" s="4"/>
      <c r="D46" s="4"/>
      <c r="E46" s="4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4"/>
      <c r="C47" s="4"/>
      <c r="D47" s="4"/>
      <c r="E47" s="4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4"/>
      <c r="C48" s="4"/>
      <c r="D48" s="4"/>
      <c r="E48" s="4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4"/>
      <c r="C49" s="4"/>
      <c r="D49" s="4"/>
      <c r="E49" s="4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4"/>
      <c r="C50" s="4"/>
      <c r="D50" s="4"/>
      <c r="E50" s="4"/>
      <c r="F50" s="11"/>
      <c r="G50" s="1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4"/>
      <c r="C51" s="4"/>
      <c r="D51" s="4"/>
      <c r="E51" s="4"/>
      <c r="F51" s="11"/>
      <c r="G51" s="1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4"/>
      <c r="C52" s="4"/>
      <c r="D52" s="4"/>
      <c r="E52" s="4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4"/>
      <c r="C53" s="4"/>
      <c r="D53" s="4"/>
      <c r="E53" s="4"/>
      <c r="F53" s="11"/>
      <c r="G53" s="11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4"/>
      <c r="C54" s="4"/>
      <c r="D54" s="4"/>
      <c r="E54" s="4"/>
      <c r="F54" s="11"/>
      <c r="G54" s="11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4"/>
      <c r="C55" s="4"/>
      <c r="D55" s="4"/>
      <c r="E55" s="4"/>
      <c r="F55" s="11"/>
      <c r="G55" s="1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4"/>
      <c r="C56" s="4"/>
      <c r="D56" s="4"/>
      <c r="E56" s="4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4"/>
      <c r="C57" s="4"/>
      <c r="D57" s="4"/>
      <c r="E57" s="4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4"/>
      <c r="C58" s="4"/>
      <c r="D58" s="4"/>
      <c r="E58" s="4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4"/>
      <c r="C59" s="4"/>
      <c r="D59" s="4"/>
      <c r="E59" s="4"/>
      <c r="F59" s="11"/>
      <c r="G59" s="1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4"/>
      <c r="C60" s="4"/>
      <c r="D60" s="4"/>
      <c r="E60" s="4"/>
      <c r="F60" s="11"/>
      <c r="G60" s="1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4"/>
      <c r="C61" s="4"/>
      <c r="D61" s="4"/>
      <c r="E61" s="4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4"/>
      <c r="C62" s="4"/>
      <c r="D62" s="4"/>
      <c r="E62" s="4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4"/>
      <c r="C63" s="4"/>
      <c r="D63" s="4"/>
      <c r="E63" s="4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4"/>
      <c r="C64" s="4"/>
      <c r="D64" s="4"/>
      <c r="E64" s="4"/>
      <c r="F64" s="11"/>
      <c r="G64" s="1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4"/>
      <c r="C65" s="4"/>
      <c r="D65" s="4"/>
      <c r="E65" s="4"/>
      <c r="F65" s="11"/>
      <c r="G65" s="1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4"/>
      <c r="C66" s="4"/>
      <c r="D66" s="4"/>
      <c r="E66" s="4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4"/>
      <c r="C67" s="4"/>
      <c r="D67" s="4"/>
      <c r="E67" s="4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4"/>
      <c r="C68" s="4"/>
      <c r="D68" s="4"/>
      <c r="E68" s="4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4"/>
      <c r="C69" s="4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4"/>
      <c r="C70" s="4"/>
      <c r="D70" s="4"/>
      <c r="E70" s="4"/>
      <c r="F70" s="11"/>
      <c r="G70" s="1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4"/>
      <c r="C71" s="4"/>
      <c r="D71" s="4"/>
      <c r="E71" s="4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4"/>
      <c r="C72" s="4"/>
      <c r="D72" s="4"/>
      <c r="E72" s="4"/>
      <c r="F72" s="11"/>
      <c r="G72" s="1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4"/>
      <c r="C73" s="4"/>
      <c r="D73" s="4"/>
      <c r="E73" s="4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4"/>
      <c r="C74" s="4"/>
      <c r="D74" s="4"/>
      <c r="E74" s="4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4"/>
      <c r="C75" s="4"/>
      <c r="D75" s="4"/>
      <c r="E75" s="4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4"/>
      <c r="C76" s="4"/>
      <c r="D76" s="4"/>
      <c r="E76" s="4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4"/>
      <c r="C77" s="4"/>
      <c r="D77" s="4"/>
      <c r="E77" s="4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4"/>
      <c r="C78" s="4"/>
      <c r="D78" s="4"/>
      <c r="E78" s="4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4"/>
      <c r="C79" s="4"/>
      <c r="D79" s="4"/>
      <c r="E79" s="4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4"/>
      <c r="C80" s="4"/>
      <c r="D80" s="4"/>
      <c r="E80" s="4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4"/>
      <c r="C81" s="4"/>
      <c r="D81" s="4"/>
      <c r="E81" s="4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4"/>
      <c r="C82" s="4"/>
      <c r="D82" s="4"/>
      <c r="E82" s="4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4"/>
      <c r="C83" s="4"/>
      <c r="D83" s="4"/>
      <c r="E83" s="4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4"/>
      <c r="C84" s="4"/>
      <c r="D84" s="4"/>
      <c r="E84" s="4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4"/>
      <c r="C85" s="4"/>
      <c r="D85" s="4"/>
      <c r="E85" s="4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4"/>
      <c r="C86" s="4"/>
      <c r="D86" s="4"/>
      <c r="E86" s="4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4"/>
      <c r="C87" s="4"/>
      <c r="D87" s="4"/>
      <c r="E87" s="4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4"/>
      <c r="C88" s="4"/>
      <c r="D88" s="4"/>
      <c r="E88" s="4"/>
      <c r="F88" s="11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4"/>
      <c r="C89" s="4"/>
      <c r="D89" s="4"/>
      <c r="E89" s="4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4"/>
      <c r="C90" s="4"/>
      <c r="D90" s="4"/>
      <c r="E90" s="4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4"/>
      <c r="C91" s="4"/>
      <c r="D91" s="4"/>
      <c r="E91" s="4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4"/>
      <c r="C92" s="4"/>
      <c r="D92" s="4"/>
      <c r="E92" s="4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4"/>
      <c r="C93" s="4"/>
      <c r="D93" s="4"/>
      <c r="E93" s="4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4"/>
      <c r="C94" s="4"/>
      <c r="D94" s="4"/>
      <c r="E94" s="4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C95" s="4"/>
      <c r="D95" s="4"/>
      <c r="E95" s="4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4"/>
      <c r="C96" s="4"/>
      <c r="D96" s="4"/>
      <c r="E96" s="4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4"/>
      <c r="C97" s="4"/>
      <c r="D97" s="4"/>
      <c r="E97" s="4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4"/>
      <c r="C98" s="4"/>
      <c r="D98" s="4"/>
      <c r="E98" s="4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4"/>
      <c r="C99" s="4"/>
      <c r="D99" s="4"/>
      <c r="E99" s="4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4"/>
      <c r="C100" s="4"/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4"/>
      <c r="C101" s="4"/>
      <c r="D101" s="4"/>
      <c r="E101" s="4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4"/>
      <c r="C102" s="4"/>
      <c r="D102" s="4"/>
      <c r="E102" s="4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4"/>
      <c r="C103" s="4"/>
      <c r="D103" s="4"/>
      <c r="E103" s="4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4"/>
      <c r="C104" s="4"/>
      <c r="D104" s="4"/>
      <c r="E104" s="4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4"/>
      <c r="C105" s="4"/>
      <c r="D105" s="4"/>
      <c r="E105" s="4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4"/>
      <c r="C106" s="4"/>
      <c r="D106" s="4"/>
      <c r="E106" s="4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4"/>
      <c r="C107" s="4"/>
      <c r="D107" s="4"/>
      <c r="E107" s="4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4"/>
      <c r="C108" s="4"/>
      <c r="D108" s="4"/>
      <c r="E108" s="4"/>
      <c r="F108" s="4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4"/>
      <c r="C109" s="4"/>
      <c r="D109" s="4"/>
      <c r="E109" s="4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4"/>
      <c r="C110" s="4"/>
      <c r="D110" s="4"/>
      <c r="E110" s="4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4"/>
      <c r="C111" s="4"/>
      <c r="D111" s="4"/>
      <c r="E111" s="4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4"/>
      <c r="C112" s="4"/>
      <c r="D112" s="4"/>
      <c r="E112" s="4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4"/>
      <c r="C113" s="4"/>
      <c r="D113" s="4"/>
      <c r="E113" s="4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4"/>
      <c r="C114" s="4"/>
      <c r="D114" s="4"/>
      <c r="E114" s="4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4"/>
      <c r="C115" s="4"/>
      <c r="D115" s="4"/>
      <c r="E115" s="4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4"/>
      <c r="C116" s="4"/>
      <c r="D116" s="4"/>
      <c r="E116" s="4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4"/>
      <c r="C117" s="4"/>
      <c r="D117" s="4"/>
      <c r="E117" s="4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4"/>
      <c r="C118" s="4"/>
      <c r="D118" s="4"/>
      <c r="E118" s="4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4"/>
      <c r="C119" s="4"/>
      <c r="D119" s="4"/>
      <c r="E119" s="4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4"/>
      <c r="C120" s="4"/>
      <c r="D120" s="4"/>
      <c r="E120" s="4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4"/>
      <c r="C121" s="4"/>
      <c r="D121" s="4"/>
      <c r="E121" s="4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4"/>
      <c r="C122" s="4"/>
      <c r="D122" s="4"/>
      <c r="E122" s="4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4"/>
      <c r="C123" s="4"/>
      <c r="D123" s="4"/>
      <c r="E123" s="4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4"/>
      <c r="C124" s="4"/>
      <c r="D124" s="4"/>
      <c r="E124" s="4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4"/>
      <c r="C125" s="4"/>
      <c r="D125" s="4"/>
      <c r="E125" s="4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4"/>
      <c r="C126" s="4"/>
      <c r="D126" s="4"/>
      <c r="E126" s="4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4"/>
      <c r="C127" s="4"/>
      <c r="D127" s="4"/>
      <c r="E127" s="4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4"/>
      <c r="C128" s="4"/>
      <c r="D128" s="4"/>
      <c r="E128" s="4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4"/>
      <c r="C129" s="4"/>
      <c r="D129" s="4"/>
      <c r="E129" s="4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4"/>
      <c r="C130" s="4"/>
      <c r="D130" s="4"/>
      <c r="E130" s="4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4"/>
      <c r="C131" s="4"/>
      <c r="D131" s="4"/>
      <c r="E131" s="4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4"/>
      <c r="C132" s="4"/>
      <c r="D132" s="4"/>
      <c r="E132" s="4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4"/>
      <c r="C133" s="4"/>
      <c r="D133" s="4"/>
      <c r="E133" s="4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4"/>
      <c r="C134" s="4"/>
      <c r="D134" s="4"/>
      <c r="E134" s="4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4"/>
      <c r="C135" s="4"/>
      <c r="D135" s="4"/>
      <c r="E135" s="4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4"/>
      <c r="C136" s="4"/>
      <c r="D136" s="4"/>
      <c r="E136" s="4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4"/>
      <c r="C137" s="4"/>
      <c r="D137" s="4"/>
      <c r="E137" s="4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4"/>
      <c r="C138" s="4"/>
      <c r="D138" s="4"/>
      <c r="E138" s="4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4"/>
      <c r="C139" s="4"/>
      <c r="D139" s="4"/>
      <c r="E139" s="4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4"/>
      <c r="C140" s="4"/>
      <c r="D140" s="4"/>
      <c r="E140" s="4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4"/>
      <c r="C141" s="4"/>
      <c r="D141" s="4"/>
      <c r="E141" s="4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4"/>
      <c r="C142" s="4"/>
      <c r="D142" s="4"/>
      <c r="E142" s="4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4"/>
      <c r="C143" s="4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4"/>
      <c r="C144" s="4"/>
      <c r="D144" s="4"/>
      <c r="E144" s="4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4"/>
      <c r="C145" s="4"/>
      <c r="D145" s="4"/>
      <c r="E145" s="4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4"/>
      <c r="C146" s="4"/>
      <c r="D146" s="4"/>
      <c r="E146" s="4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4"/>
      <c r="C147" s="4"/>
      <c r="D147" s="4"/>
      <c r="E147" s="4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4"/>
      <c r="C148" s="4"/>
      <c r="D148" s="4"/>
      <c r="E148" s="4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4"/>
      <c r="C149" s="4"/>
      <c r="D149" s="4"/>
      <c r="E149" s="4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4"/>
      <c r="C150" s="4"/>
      <c r="D150" s="4"/>
      <c r="E150" s="4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4"/>
      <c r="C151" s="4"/>
      <c r="D151" s="4"/>
      <c r="E151" s="4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4"/>
      <c r="C152" s="4"/>
      <c r="D152" s="4"/>
      <c r="E152" s="4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4"/>
      <c r="C153" s="4"/>
      <c r="D153" s="4"/>
      <c r="E153" s="4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4"/>
      <c r="C154" s="4"/>
      <c r="D154" s="4"/>
      <c r="E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4"/>
      <c r="C155" s="4"/>
      <c r="D155" s="4"/>
      <c r="E155" s="4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4"/>
      <c r="C156" s="4"/>
      <c r="D156" s="4"/>
      <c r="E156" s="4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4"/>
      <c r="C157" s="4"/>
      <c r="D157" s="4"/>
      <c r="E157" s="4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4"/>
      <c r="C158" s="4"/>
      <c r="D158" s="4"/>
      <c r="E158" s="4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4"/>
      <c r="C159" s="4"/>
      <c r="D159" s="4"/>
      <c r="E159" s="4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4"/>
      <c r="C160" s="4"/>
      <c r="D160" s="4"/>
      <c r="E160" s="4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4"/>
      <c r="C161" s="4"/>
      <c r="D161" s="4"/>
      <c r="E161" s="4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4"/>
      <c r="C162" s="4"/>
      <c r="D162" s="4"/>
      <c r="E162" s="4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4"/>
      <c r="C163" s="4"/>
      <c r="D163" s="4"/>
      <c r="E163" s="4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4"/>
      <c r="C164" s="4"/>
      <c r="D164" s="4"/>
      <c r="E164" s="4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4"/>
      <c r="C165" s="4"/>
      <c r="D165" s="4"/>
      <c r="E165" s="4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4"/>
      <c r="C166" s="4"/>
      <c r="D166" s="4"/>
      <c r="E166" s="4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4"/>
      <c r="C167" s="4"/>
      <c r="D167" s="4"/>
      <c r="E167" s="4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4"/>
      <c r="C168" s="4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4"/>
      <c r="C169" s="4"/>
      <c r="D169" s="4"/>
      <c r="E169" s="4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4"/>
      <c r="C170" s="4"/>
      <c r="D170" s="4"/>
      <c r="E170" s="4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4"/>
      <c r="C171" s="4"/>
      <c r="D171" s="4"/>
      <c r="E171" s="4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4"/>
      <c r="C172" s="4"/>
      <c r="D172" s="4"/>
      <c r="E172" s="4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4"/>
      <c r="C173" s="4"/>
      <c r="D173" s="4"/>
      <c r="E173" s="4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4"/>
      <c r="C174" s="4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4"/>
      <c r="C175" s="4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4"/>
      <c r="C176" s="4"/>
      <c r="D176" s="4"/>
      <c r="E176" s="4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4"/>
      <c r="C177" s="4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4"/>
      <c r="C178" s="4"/>
      <c r="D178" s="4"/>
      <c r="E178" s="4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4"/>
      <c r="C179" s="4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4"/>
      <c r="C180" s="4"/>
      <c r="D180" s="4"/>
      <c r="E180" s="4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4"/>
      <c r="C181" s="4"/>
      <c r="D181" s="4"/>
      <c r="E181" s="4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4"/>
      <c r="C182" s="4"/>
      <c r="D182" s="4"/>
      <c r="E182" s="4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4"/>
      <c r="C183" s="4"/>
      <c r="D183" s="4"/>
      <c r="E183" s="4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4"/>
      <c r="C184" s="4"/>
      <c r="D184" s="4"/>
      <c r="E184" s="4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4"/>
      <c r="C185" s="4"/>
      <c r="D185" s="4"/>
      <c r="E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4"/>
      <c r="C186" s="4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4"/>
      <c r="C187" s="4"/>
      <c r="D187" s="4"/>
      <c r="E187" s="4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4"/>
      <c r="C188" s="4"/>
      <c r="D188" s="4"/>
      <c r="E188" s="4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4"/>
      <c r="C189" s="4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4"/>
      <c r="C190" s="4"/>
      <c r="D190" s="4"/>
      <c r="E190" s="4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4"/>
      <c r="C191" s="4"/>
      <c r="D191" s="4"/>
      <c r="E191" s="4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4"/>
      <c r="C192" s="4"/>
      <c r="D192" s="4"/>
      <c r="E192" s="4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4"/>
      <c r="C193" s="4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4"/>
      <c r="C194" s="4"/>
      <c r="D194" s="4"/>
      <c r="E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4"/>
      <c r="C195" s="4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4"/>
      <c r="C196" s="4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4"/>
      <c r="C197" s="4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4"/>
      <c r="C198" s="4"/>
      <c r="D198" s="4"/>
      <c r="E198" s="4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4"/>
      <c r="C199" s="4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4"/>
      <c r="C200" s="4"/>
      <c r="D200" s="4"/>
      <c r="E200" s="4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4"/>
      <c r="C201" s="4"/>
      <c r="D201" s="4"/>
      <c r="E201" s="4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4"/>
      <c r="C202" s="4"/>
      <c r="D202" s="4"/>
      <c r="E202" s="4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4"/>
      <c r="C203" s="4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4"/>
      <c r="C204" s="4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4"/>
      <c r="C205" s="4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4"/>
      <c r="C206" s="4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4"/>
      <c r="C207" s="4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4"/>
      <c r="C208" s="4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4"/>
      <c r="C209" s="4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4"/>
      <c r="C210" s="4"/>
      <c r="D210" s="4"/>
      <c r="E210" s="4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4"/>
      <c r="C211" s="4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4"/>
      <c r="C212" s="4"/>
      <c r="D212" s="4"/>
      <c r="E212" s="4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4"/>
      <c r="C213" s="4"/>
      <c r="D213" s="4"/>
      <c r="E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4"/>
      <c r="C214" s="4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4"/>
      <c r="C215" s="4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4"/>
      <c r="C216" s="4"/>
      <c r="D216" s="4"/>
      <c r="E216" s="4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4"/>
      <c r="C217" s="4"/>
      <c r="D217" s="4"/>
      <c r="E217" s="4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4"/>
      <c r="C218" s="4"/>
      <c r="D218" s="4"/>
      <c r="E218" s="4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4"/>
      <c r="C219" s="4"/>
      <c r="D219" s="4"/>
      <c r="E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4"/>
      <c r="C220" s="4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4"/>
      <c r="C221" s="4"/>
      <c r="D221" s="4"/>
      <c r="E221" s="4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4"/>
      <c r="C222" s="4"/>
      <c r="D222" s="4"/>
      <c r="E222" s="4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4"/>
      <c r="C223" s="4"/>
      <c r="D223" s="4"/>
      <c r="E223" s="4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4"/>
      <c r="C224" s="4"/>
      <c r="D224" s="4"/>
      <c r="E224" s="4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4"/>
      <c r="C225" s="4"/>
      <c r="D225" s="4"/>
      <c r="E225" s="4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4"/>
      <c r="C226" s="4"/>
      <c r="D226" s="4"/>
      <c r="E226" s="4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4"/>
      <c r="C227" s="4"/>
      <c r="D227" s="4"/>
      <c r="E227" s="4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4"/>
      <c r="C228" s="4"/>
      <c r="D228" s="4"/>
      <c r="E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4"/>
      <c r="C229" s="4"/>
      <c r="D229" s="4"/>
      <c r="E229" s="4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4"/>
      <c r="C230" s="4"/>
      <c r="D230" s="4"/>
      <c r="E230" s="4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4"/>
      <c r="C231" s="4"/>
      <c r="D231" s="4"/>
      <c r="E231" s="4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4"/>
      <c r="C232" s="4"/>
      <c r="D232" s="4"/>
      <c r="E232" s="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4"/>
      <c r="C233" s="4"/>
      <c r="D233" s="4"/>
      <c r="E233" s="4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4"/>
      <c r="C234" s="4"/>
      <c r="D234" s="4"/>
      <c r="E234" s="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4"/>
      <c r="C235" s="4"/>
      <c r="D235" s="4"/>
      <c r="E235" s="4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4"/>
      <c r="C236" s="4"/>
      <c r="D236" s="4"/>
      <c r="E236" s="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4"/>
      <c r="C237" s="4"/>
      <c r="D237" s="4"/>
      <c r="E237" s="4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4"/>
      <c r="C238" s="4"/>
      <c r="D238" s="4"/>
      <c r="E238" s="4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4"/>
      <c r="C239" s="4"/>
      <c r="D239" s="4"/>
      <c r="E239" s="4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4"/>
      <c r="C240" s="4"/>
      <c r="D240" s="4"/>
      <c r="E240" s="4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4"/>
      <c r="C241" s="4"/>
      <c r="D241" s="4"/>
      <c r="E241" s="4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4"/>
      <c r="C242" s="4"/>
      <c r="D242" s="4"/>
      <c r="E242" s="4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4"/>
      <c r="C243" s="4"/>
      <c r="D243" s="4"/>
      <c r="E243" s="4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4"/>
      <c r="C244" s="4"/>
      <c r="D244" s="4"/>
      <c r="E244" s="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4"/>
      <c r="C245" s="4"/>
      <c r="D245" s="4"/>
      <c r="E245" s="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4"/>
      <c r="C246" s="4"/>
      <c r="D246" s="4"/>
      <c r="E246" s="4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4"/>
      <c r="C247" s="4"/>
      <c r="D247" s="4"/>
      <c r="E247" s="4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4"/>
      <c r="C248" s="4"/>
      <c r="D248" s="4"/>
      <c r="E248" s="4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4"/>
      <c r="C249" s="4"/>
      <c r="D249" s="4"/>
      <c r="E249" s="4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4"/>
      <c r="C250" s="4"/>
      <c r="D250" s="4"/>
      <c r="E250" s="4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4"/>
      <c r="C251" s="4"/>
      <c r="D251" s="4"/>
      <c r="E251" s="4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4"/>
      <c r="C252" s="4"/>
      <c r="D252" s="4"/>
      <c r="E252" s="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4"/>
      <c r="C253" s="4"/>
      <c r="D253" s="4"/>
      <c r="E253" s="4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4"/>
      <c r="C254" s="4"/>
      <c r="D254" s="4"/>
      <c r="E254" s="4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4"/>
      <c r="C255" s="4"/>
      <c r="D255" s="4"/>
      <c r="E255" s="4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4"/>
      <c r="C256" s="4"/>
      <c r="D256" s="4"/>
      <c r="E256" s="4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4"/>
      <c r="C257" s="4"/>
      <c r="D257" s="4"/>
      <c r="E257" s="4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4"/>
      <c r="C258" s="4"/>
      <c r="D258" s="4"/>
      <c r="E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4"/>
      <c r="C259" s="4"/>
      <c r="D259" s="4"/>
      <c r="E259" s="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4"/>
      <c r="C260" s="4"/>
      <c r="D260" s="4"/>
      <c r="E260" s="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4"/>
      <c r="C261" s="4"/>
      <c r="D261" s="4"/>
      <c r="E261" s="4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4"/>
      <c r="C262" s="4"/>
      <c r="D262" s="4"/>
      <c r="E262" s="4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4"/>
      <c r="C263" s="4"/>
      <c r="D263" s="4"/>
      <c r="E263" s="4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4"/>
      <c r="C264" s="4"/>
      <c r="D264" s="4"/>
      <c r="E264" s="4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4"/>
      <c r="C265" s="4"/>
      <c r="D265" s="4"/>
      <c r="E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4"/>
      <c r="C266" s="4"/>
      <c r="D266" s="4"/>
      <c r="E266" s="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4"/>
      <c r="C267" s="4"/>
      <c r="D267" s="4"/>
      <c r="E267" s="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4"/>
      <c r="C268" s="4"/>
      <c r="D268" s="4"/>
      <c r="E268" s="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4"/>
      <c r="C269" s="4"/>
      <c r="D269" s="4"/>
      <c r="E269" s="4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4"/>
      <c r="C270" s="4"/>
      <c r="D270" s="4"/>
      <c r="E270" s="4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4"/>
      <c r="C271" s="4"/>
      <c r="D271" s="4"/>
      <c r="E271" s="4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4"/>
      <c r="C272" s="4"/>
      <c r="D272" s="4"/>
      <c r="E272" s="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4"/>
      <c r="C273" s="4"/>
      <c r="D273" s="4"/>
      <c r="E273" s="4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4"/>
      <c r="C274" s="4"/>
      <c r="D274" s="4"/>
      <c r="E274" s="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4"/>
      <c r="C275" s="4"/>
      <c r="D275" s="4"/>
      <c r="E275" s="4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4"/>
      <c r="C276" s="4"/>
      <c r="D276" s="4"/>
      <c r="E276" s="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4"/>
      <c r="C277" s="4"/>
      <c r="D277" s="4"/>
      <c r="E277" s="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4"/>
      <c r="C278" s="4"/>
      <c r="D278" s="4"/>
      <c r="E278" s="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4"/>
      <c r="C279" s="4"/>
      <c r="D279" s="4"/>
      <c r="E279" s="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4"/>
      <c r="C280" s="4"/>
      <c r="D280" s="4"/>
      <c r="E280" s="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4"/>
      <c r="C281" s="4"/>
      <c r="D281" s="4"/>
      <c r="E281" s="4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4"/>
      <c r="C282" s="4"/>
      <c r="D282" s="4"/>
      <c r="E282" s="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4"/>
      <c r="C283" s="4"/>
      <c r="D283" s="4"/>
      <c r="E283" s="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4"/>
      <c r="C284" s="4"/>
      <c r="D284" s="4"/>
      <c r="E284" s="4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4"/>
      <c r="C285" s="4"/>
      <c r="D285" s="4"/>
      <c r="E285" s="4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4"/>
      <c r="C286" s="4"/>
      <c r="D286" s="4"/>
      <c r="E286" s="4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4"/>
      <c r="C287" s="4"/>
      <c r="D287" s="4"/>
      <c r="E287" s="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4"/>
      <c r="C288" s="4"/>
      <c r="D288" s="4"/>
      <c r="E288" s="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4"/>
      <c r="C289" s="4"/>
      <c r="D289" s="4"/>
      <c r="E289" s="4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4"/>
      <c r="C290" s="4"/>
      <c r="D290" s="4"/>
      <c r="E290" s="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4"/>
      <c r="C291" s="4"/>
      <c r="D291" s="4"/>
      <c r="E291" s="4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4"/>
      <c r="C292" s="4"/>
      <c r="D292" s="4"/>
      <c r="E292" s="4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4"/>
      <c r="C293" s="4"/>
      <c r="D293" s="4"/>
      <c r="E293" s="4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4"/>
      <c r="C294" s="4"/>
      <c r="D294" s="4"/>
      <c r="E294" s="4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4"/>
      <c r="C295" s="4"/>
      <c r="D295" s="4"/>
      <c r="E295" s="4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4"/>
      <c r="C296" s="4"/>
      <c r="D296" s="4"/>
      <c r="E296" s="4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4"/>
      <c r="C297" s="4"/>
      <c r="D297" s="4"/>
      <c r="E297" s="4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4"/>
      <c r="C298" s="4"/>
      <c r="D298" s="4"/>
      <c r="E298" s="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4"/>
      <c r="C299" s="4"/>
      <c r="D299" s="4"/>
      <c r="E299" s="4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4"/>
      <c r="C300" s="4"/>
      <c r="D300" s="4"/>
      <c r="E300" s="4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4"/>
      <c r="C301" s="4"/>
      <c r="D301" s="4"/>
      <c r="E301" s="4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4"/>
      <c r="C302" s="4"/>
      <c r="D302" s="4"/>
      <c r="E302" s="4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4"/>
      <c r="C303" s="4"/>
      <c r="D303" s="4"/>
      <c r="E303" s="4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4"/>
      <c r="C304" s="4"/>
      <c r="D304" s="4"/>
      <c r="E304" s="4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4"/>
      <c r="C305" s="4"/>
      <c r="D305" s="4"/>
      <c r="E305" s="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4"/>
      <c r="C306" s="4"/>
      <c r="D306" s="4"/>
      <c r="E306" s="4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4"/>
      <c r="C307" s="4"/>
      <c r="D307" s="4"/>
      <c r="E307" s="4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4"/>
      <c r="C308" s="4"/>
      <c r="D308" s="4"/>
      <c r="E308" s="4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4"/>
      <c r="C309" s="4"/>
      <c r="D309" s="4"/>
      <c r="E309" s="4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4"/>
      <c r="C310" s="4"/>
      <c r="D310" s="4"/>
      <c r="E310" s="4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4"/>
      <c r="C311" s="4"/>
      <c r="D311" s="4"/>
      <c r="E311" s="4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4"/>
      <c r="C312" s="4"/>
      <c r="D312" s="4"/>
      <c r="E312" s="4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4"/>
      <c r="C313" s="4"/>
      <c r="D313" s="4"/>
      <c r="E313" s="4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4"/>
      <c r="C314" s="4"/>
      <c r="D314" s="4"/>
      <c r="E314" s="4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4"/>
      <c r="C315" s="4"/>
      <c r="D315" s="4"/>
      <c r="E315" s="4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4"/>
      <c r="C316" s="4"/>
      <c r="D316" s="4"/>
      <c r="E316" s="4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4"/>
      <c r="C317" s="4"/>
      <c r="D317" s="4"/>
      <c r="E317" s="4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4"/>
      <c r="C318" s="4"/>
      <c r="D318" s="4"/>
      <c r="E318" s="4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4"/>
      <c r="C319" s="4"/>
      <c r="D319" s="4"/>
      <c r="E319" s="4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4"/>
      <c r="C320" s="4"/>
      <c r="D320" s="4"/>
      <c r="E320" s="4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4"/>
      <c r="C321" s="4"/>
      <c r="D321" s="4"/>
      <c r="E321" s="4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4"/>
      <c r="C322" s="4"/>
      <c r="D322" s="4"/>
      <c r="E322" s="4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4"/>
      <c r="C323" s="4"/>
      <c r="D323" s="4"/>
      <c r="E323" s="4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4"/>
      <c r="C324" s="4"/>
      <c r="D324" s="4"/>
      <c r="E324" s="4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4"/>
      <c r="C325" s="4"/>
      <c r="D325" s="4"/>
      <c r="E325" s="4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4"/>
      <c r="C326" s="4"/>
      <c r="D326" s="4"/>
      <c r="E326" s="4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4"/>
      <c r="C327" s="4"/>
      <c r="D327" s="4"/>
      <c r="E327" s="4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4"/>
      <c r="C328" s="4"/>
      <c r="D328" s="4"/>
      <c r="E328" s="4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4"/>
      <c r="C329" s="4"/>
      <c r="D329" s="4"/>
      <c r="E329" s="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4"/>
      <c r="C330" s="4"/>
      <c r="D330" s="4"/>
      <c r="E330" s="4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4"/>
      <c r="C331" s="4"/>
      <c r="D331" s="4"/>
      <c r="E331" s="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4"/>
      <c r="C332" s="4"/>
      <c r="D332" s="4"/>
      <c r="E332" s="4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4"/>
      <c r="C333" s="4"/>
      <c r="D333" s="4"/>
      <c r="E333" s="4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4"/>
      <c r="C334" s="4"/>
      <c r="D334" s="4"/>
      <c r="E334" s="4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4"/>
      <c r="C335" s="4"/>
      <c r="D335" s="4"/>
      <c r="E335" s="4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4"/>
      <c r="C336" s="4"/>
      <c r="D336" s="4"/>
      <c r="E336" s="4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4"/>
      <c r="C337" s="4"/>
      <c r="D337" s="4"/>
      <c r="E337" s="4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4"/>
      <c r="C338" s="4"/>
      <c r="D338" s="4"/>
      <c r="E338" s="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4"/>
      <c r="C339" s="4"/>
      <c r="D339" s="4"/>
      <c r="E339" s="4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4"/>
      <c r="C340" s="4"/>
      <c r="D340" s="4"/>
      <c r="E340" s="4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4"/>
      <c r="C341" s="4"/>
      <c r="D341" s="4"/>
      <c r="E341" s="4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4"/>
      <c r="C342" s="4"/>
      <c r="D342" s="4"/>
      <c r="E342" s="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4"/>
      <c r="C343" s="4"/>
      <c r="D343" s="4"/>
      <c r="E343" s="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4"/>
      <c r="C344" s="4"/>
      <c r="D344" s="4"/>
      <c r="E344" s="4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4"/>
      <c r="C345" s="4"/>
      <c r="D345" s="4"/>
      <c r="E345" s="4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4"/>
      <c r="C346" s="4"/>
      <c r="D346" s="4"/>
      <c r="E346" s="4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4"/>
      <c r="C347" s="4"/>
      <c r="D347" s="4"/>
      <c r="E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4"/>
      <c r="C348" s="4"/>
      <c r="D348" s="4"/>
      <c r="E348" s="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4"/>
      <c r="C349" s="4"/>
      <c r="D349" s="4"/>
      <c r="E349" s="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4"/>
      <c r="C350" s="4"/>
      <c r="D350" s="4"/>
      <c r="E350" s="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4"/>
      <c r="C351" s="4"/>
      <c r="D351" s="4"/>
      <c r="E351" s="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4"/>
      <c r="C352" s="4"/>
      <c r="D352" s="4"/>
      <c r="E352" s="4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4"/>
      <c r="C353" s="4"/>
      <c r="D353" s="4"/>
      <c r="E353" s="4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4"/>
      <c r="C354" s="4"/>
      <c r="D354" s="4"/>
      <c r="E354" s="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4"/>
      <c r="C355" s="4"/>
      <c r="D355" s="4"/>
      <c r="E355" s="4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4"/>
      <c r="C356" s="4"/>
      <c r="D356" s="4"/>
      <c r="E356" s="4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4"/>
      <c r="C357" s="4"/>
      <c r="D357" s="4"/>
      <c r="E357" s="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4"/>
      <c r="C358" s="4"/>
      <c r="D358" s="4"/>
      <c r="E358" s="4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4"/>
      <c r="C359" s="4"/>
      <c r="D359" s="4"/>
      <c r="E359" s="4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4"/>
      <c r="C360" s="4"/>
      <c r="D360" s="4"/>
      <c r="E360" s="4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4"/>
      <c r="C361" s="4"/>
      <c r="D361" s="4"/>
      <c r="E361" s="4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4"/>
      <c r="C362" s="4"/>
      <c r="D362" s="4"/>
      <c r="E362" s="4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4"/>
      <c r="C363" s="4"/>
      <c r="D363" s="4"/>
      <c r="E363" s="4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4"/>
      <c r="C364" s="4"/>
      <c r="D364" s="4"/>
      <c r="E364" s="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4"/>
      <c r="C365" s="4"/>
      <c r="D365" s="4"/>
      <c r="E365" s="4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4"/>
      <c r="C366" s="4"/>
      <c r="D366" s="4"/>
      <c r="E366" s="4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4"/>
      <c r="C367" s="4"/>
      <c r="D367" s="4"/>
      <c r="E367" s="4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4"/>
      <c r="C368" s="4"/>
      <c r="D368" s="4"/>
      <c r="E368" s="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4"/>
      <c r="C369" s="4"/>
      <c r="D369" s="4"/>
      <c r="E369" s="4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4"/>
      <c r="C370" s="4"/>
      <c r="D370" s="4"/>
      <c r="E370" s="4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4"/>
      <c r="C371" s="4"/>
      <c r="D371" s="4"/>
      <c r="E371" s="4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4"/>
      <c r="C372" s="4"/>
      <c r="D372" s="4"/>
      <c r="E372" s="4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4"/>
      <c r="C373" s="4"/>
      <c r="D373" s="4"/>
      <c r="E373" s="4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4"/>
      <c r="C374" s="4"/>
      <c r="D374" s="4"/>
      <c r="E374" s="4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4"/>
      <c r="C375" s="4"/>
      <c r="D375" s="4"/>
      <c r="E375" s="4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4"/>
      <c r="C376" s="4"/>
      <c r="D376" s="4"/>
      <c r="E376" s="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4"/>
      <c r="C377" s="4"/>
      <c r="D377" s="4"/>
      <c r="E377" s="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4"/>
      <c r="C378" s="4"/>
      <c r="D378" s="4"/>
      <c r="E378" s="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4"/>
      <c r="C379" s="4"/>
      <c r="D379" s="4"/>
      <c r="E379" s="4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4"/>
      <c r="C380" s="4"/>
      <c r="D380" s="4"/>
      <c r="E380" s="4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4"/>
      <c r="C381" s="4"/>
      <c r="D381" s="4"/>
      <c r="E381" s="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4"/>
      <c r="C382" s="4"/>
      <c r="D382" s="4"/>
      <c r="E382" s="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4"/>
      <c r="C383" s="4"/>
      <c r="D383" s="4"/>
      <c r="E383" s="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4"/>
      <c r="C384" s="4"/>
      <c r="D384" s="4"/>
      <c r="E384" s="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4"/>
      <c r="C385" s="4"/>
      <c r="D385" s="4"/>
      <c r="E385" s="4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4"/>
      <c r="C386" s="4"/>
      <c r="D386" s="4"/>
      <c r="E386" s="4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4"/>
      <c r="C387" s="4"/>
      <c r="D387" s="4"/>
      <c r="E387" s="4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4"/>
      <c r="C388" s="4"/>
      <c r="D388" s="4"/>
      <c r="E388" s="4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4"/>
      <c r="C389" s="4"/>
      <c r="D389" s="4"/>
      <c r="E389" s="4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4"/>
      <c r="C390" s="4"/>
      <c r="D390" s="4"/>
      <c r="E390" s="4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4"/>
      <c r="C391" s="4"/>
      <c r="D391" s="4"/>
      <c r="E391" s="4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4"/>
      <c r="C392" s="4"/>
      <c r="D392" s="4"/>
      <c r="E392" s="4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4"/>
      <c r="C393" s="4"/>
      <c r="D393" s="4"/>
      <c r="E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4"/>
      <c r="C394" s="4"/>
      <c r="D394" s="4"/>
      <c r="E394" s="4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4"/>
      <c r="C395" s="4"/>
      <c r="D395" s="4"/>
      <c r="E395" s="4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4"/>
      <c r="C396" s="4"/>
      <c r="D396" s="4"/>
      <c r="E396" s="4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4"/>
      <c r="C397" s="4"/>
      <c r="D397" s="4"/>
      <c r="E397" s="4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4"/>
      <c r="C398" s="4"/>
      <c r="D398" s="4"/>
      <c r="E398" s="4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4"/>
      <c r="C399" s="4"/>
      <c r="D399" s="4"/>
      <c r="E399" s="4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4"/>
      <c r="C400" s="4"/>
      <c r="D400" s="4"/>
      <c r="E400" s="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4"/>
      <c r="C401" s="4"/>
      <c r="D401" s="4"/>
      <c r="E401" s="4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4"/>
      <c r="C402" s="4"/>
      <c r="D402" s="4"/>
      <c r="E402" s="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4"/>
      <c r="C403" s="4"/>
      <c r="D403" s="4"/>
      <c r="E403" s="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4"/>
      <c r="C404" s="4"/>
      <c r="D404" s="4"/>
      <c r="E404" s="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4"/>
      <c r="C405" s="4"/>
      <c r="D405" s="4"/>
      <c r="E405" s="4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4"/>
      <c r="C406" s="4"/>
      <c r="D406" s="4"/>
      <c r="E406" s="4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4"/>
      <c r="C407" s="4"/>
      <c r="D407" s="4"/>
      <c r="E407" s="4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4"/>
      <c r="C408" s="4"/>
      <c r="D408" s="4"/>
      <c r="E408" s="4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4"/>
      <c r="C409" s="4"/>
      <c r="D409" s="4"/>
      <c r="E409" s="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4"/>
      <c r="C410" s="4"/>
      <c r="D410" s="4"/>
      <c r="E410" s="4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4"/>
      <c r="C411" s="4"/>
      <c r="D411" s="4"/>
      <c r="E411" s="4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4"/>
      <c r="C412" s="4"/>
      <c r="D412" s="4"/>
      <c r="E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4"/>
      <c r="C413" s="4"/>
      <c r="D413" s="4"/>
      <c r="E413" s="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4"/>
      <c r="C414" s="4"/>
      <c r="D414" s="4"/>
      <c r="E414" s="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4"/>
      <c r="C415" s="4"/>
      <c r="D415" s="4"/>
      <c r="E415" s="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4"/>
      <c r="C416" s="4"/>
      <c r="D416" s="4"/>
      <c r="E416" s="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4"/>
      <c r="C417" s="4"/>
      <c r="D417" s="4"/>
      <c r="E417" s="4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4"/>
      <c r="C418" s="4"/>
      <c r="D418" s="4"/>
      <c r="E418" s="4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4"/>
      <c r="C419" s="4"/>
      <c r="D419" s="4"/>
      <c r="E419" s="4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4"/>
      <c r="C420" s="4"/>
      <c r="D420" s="4"/>
      <c r="E420" s="4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4"/>
      <c r="C421" s="4"/>
      <c r="D421" s="4"/>
      <c r="E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4"/>
      <c r="C422" s="4"/>
      <c r="D422" s="4"/>
      <c r="E422" s="4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4"/>
      <c r="C423" s="4"/>
      <c r="D423" s="4"/>
      <c r="E423" s="4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4"/>
      <c r="C424" s="4"/>
      <c r="D424" s="4"/>
      <c r="E424" s="4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4"/>
      <c r="C425" s="4"/>
      <c r="D425" s="4"/>
      <c r="E425" s="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4"/>
      <c r="C426" s="4"/>
      <c r="D426" s="4"/>
      <c r="E426" s="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4"/>
      <c r="C427" s="4"/>
      <c r="D427" s="4"/>
      <c r="E427" s="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4"/>
      <c r="C428" s="4"/>
      <c r="D428" s="4"/>
      <c r="E428" s="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4"/>
      <c r="C429" s="4"/>
      <c r="D429" s="4"/>
      <c r="E429" s="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4"/>
      <c r="C430" s="4"/>
      <c r="D430" s="4"/>
      <c r="E430" s="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4"/>
      <c r="C431" s="4"/>
      <c r="D431" s="4"/>
      <c r="E431" s="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4"/>
      <c r="C432" s="4"/>
      <c r="D432" s="4"/>
      <c r="E432" s="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3.38"/>
  </cols>
  <sheetData>
    <row r="1">
      <c r="A1" s="13" t="s">
        <v>100</v>
      </c>
      <c r="B1" s="13" t="s">
        <v>101</v>
      </c>
      <c r="C1" s="13" t="s">
        <v>102</v>
      </c>
    </row>
    <row r="2">
      <c r="A2" s="15" t="s">
        <v>9</v>
      </c>
      <c r="B2" s="15">
        <v>6.0</v>
      </c>
      <c r="C2" s="15">
        <v>8.0</v>
      </c>
    </row>
    <row r="3">
      <c r="A3" s="17" t="s">
        <v>61</v>
      </c>
      <c r="B3" s="17">
        <v>5.0</v>
      </c>
      <c r="C3" s="17">
        <v>7.0</v>
      </c>
    </row>
    <row r="4">
      <c r="A4" s="17" t="s">
        <v>63</v>
      </c>
      <c r="B4" s="17">
        <v>4.0</v>
      </c>
      <c r="C4" s="17">
        <v>7.0</v>
      </c>
    </row>
    <row r="5">
      <c r="A5" s="17" t="s">
        <v>64</v>
      </c>
      <c r="B5" s="17">
        <v>9.0</v>
      </c>
      <c r="C5" s="17">
        <v>3.0</v>
      </c>
    </row>
    <row r="6">
      <c r="A6" s="17" t="s">
        <v>65</v>
      </c>
      <c r="B6" s="17">
        <v>5.0</v>
      </c>
      <c r="C6" s="17">
        <v>16.0</v>
      </c>
    </row>
    <row r="7">
      <c r="A7" s="17" t="s">
        <v>66</v>
      </c>
      <c r="B7" s="17">
        <v>12.0</v>
      </c>
      <c r="C7" s="17">
        <v>2.0</v>
      </c>
    </row>
  </sheetData>
  <drawing r:id="rId1"/>
</worksheet>
</file>