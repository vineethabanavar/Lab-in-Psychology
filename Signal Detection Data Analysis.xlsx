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<sst xmlns="http://schemas.openxmlformats.org/spreadsheetml/2006/main" count="135" uniqueCount="28">
  <si>
    <t>tilt</t>
  </si>
  <si>
    <t>key_resp.keys</t>
  </si>
  <si>
    <t>trials.key_resp.corr</t>
  </si>
  <si>
    <t>Hit</t>
  </si>
  <si>
    <t>Miss</t>
  </si>
  <si>
    <t>False Alarms</t>
  </si>
  <si>
    <t>Correct Rejection</t>
  </si>
  <si>
    <t>Respond YES</t>
  </si>
  <si>
    <t>Respond NO</t>
  </si>
  <si>
    <t>z value</t>
  </si>
  <si>
    <t>up</t>
  </si>
  <si>
    <t>Signal present</t>
  </si>
  <si>
    <t>Measure</t>
  </si>
  <si>
    <t>Formula</t>
  </si>
  <si>
    <t>Value</t>
  </si>
  <si>
    <t>down</t>
  </si>
  <si>
    <t>Signal absent</t>
  </si>
  <si>
    <t>False Alarm</t>
  </si>
  <si>
    <t>Proportion of Hits</t>
  </si>
  <si>
    <t>Hit/ (Hit+Miss)</t>
  </si>
  <si>
    <t>Proportion of False Alarms (FA)</t>
  </si>
  <si>
    <t>FA/ (FA + Corr Rejection)</t>
  </si>
  <si>
    <t>d'</t>
  </si>
  <si>
    <t>z(Prop Hit) - z(Prop FA)</t>
  </si>
  <si>
    <t>c</t>
  </si>
  <si>
    <t>- z(Prop Hit) + z(Prop FA)/2</t>
  </si>
  <si>
    <t>Type of Response</t>
  </si>
  <si>
    <t>Proportion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</si>
</sst>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7" fontId="2" numFmtId="0" xfId="0" applyAlignment="1" applyBorder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9" fontId="2" numFmtId="0" xfId="0" applyAlignment="1" applyBorder="1" applyFill="1" applyFont="1">
      <alignment horizontal="center" readingOrder="0" shrinkToFit="0" vertical="center" wrapText="1"/>
    </xf>
    <xf borderId="1" fillId="8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+mn-lt"/>
              </a:defRPr>
            </a:pPr>
            <a:r>
              <a:rPr b="0" sz="2000">
                <a:solidFill>
                  <a:srgbClr val="757575"/>
                </a:solidFill>
                <a:latin typeface="+mn-lt"/>
              </a:rPr>
              <a:t>Types of Responses Given across 100 Trials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06666"/>
            </a:solidFill>
            <a:ln cmpd="sng" w="19050">
              <a:solidFill>
                <a:srgbClr val="000000">
                  <a:alpha val="100000"/>
                </a:srgbClr>
              </a:solidFill>
            </a:ln>
          </c:spPr>
          <c:dPt>
            <c:idx val="0"/>
            <c:spPr>
              <a:solidFill>
                <a:schemeClr val="accent4"/>
              </a:solidFill>
              <a:ln cmpd="sng" w="19050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chemeClr val="accent4"/>
              </a:solidFill>
              <a:ln cmpd="sng" w="19050">
                <a:solidFill>
                  <a:srgbClr val="000000">
                    <a:alpha val="100000"/>
                  </a:srgbClr>
                </a:solidFill>
              </a:ln>
            </c:spPr>
          </c:dPt>
          <c:cat>
            <c:strRef>
              <c:f>Sheet2!$J$8:$J$11</c:f>
            </c:strRef>
          </c:cat>
          <c:val>
            <c:numRef>
              <c:f>Sheet2!$K$8:$K$11</c:f>
              <c:numCache/>
            </c:numRef>
          </c:val>
        </c:ser>
        <c:axId val="1828638683"/>
        <c:axId val="366693312"/>
      </c:barChart>
      <c:catAx>
        <c:axId val="1828638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693312"/>
      </c:catAx>
      <c:valAx>
        <c:axId val="366693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Trials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86386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Proportion of Signal Presence across 100 Trials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1"/>
            <c:spPr>
              <a:solidFill>
                <a:srgbClr val="E06666"/>
              </a:solidFill>
              <a:ln cmpd="sng" w="9525">
                <a:solidFill>
                  <a:srgbClr val="666666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Sheet2!$J$14:$J$15</c:f>
            </c:strRef>
          </c:cat>
          <c:val>
            <c:numRef>
              <c:f>Sheet2!$K$14:$K$15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352425</xdr:colOff>
      <xdr:row>7</xdr:row>
      <xdr:rowOff>200025</xdr:rowOff>
    </xdr:from>
    <xdr:ext cx="5000625" cy="3105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666750</xdr:colOff>
      <xdr:row>24</xdr:row>
      <xdr:rowOff>190500</xdr:rowOff>
    </xdr:from>
    <xdr:ext cx="36385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3" width="12.0"/>
    <col customWidth="1" min="4" max="4" width="4.25"/>
    <col customWidth="1" min="9" max="9" width="11.0"/>
    <col customWidth="1" min="10" max="10" width="17.13"/>
    <col customWidth="1" min="11" max="11" width="13.5"/>
    <col customWidth="1" min="12" max="12" width="15.13"/>
    <col customWidth="1" min="13" max="13" width="4.88"/>
    <col customWidth="1" min="14" max="14" width="28.13"/>
    <col customWidth="1" min="15" max="15" width="23.75"/>
    <col customWidth="1" min="16" max="16" width="16.88"/>
    <col customWidth="1" min="17" max="17" width="16.25"/>
  </cols>
  <sheetData>
    <row r="1" ht="30.75" customHeight="1">
      <c r="A1" s="1" t="s">
        <v>0</v>
      </c>
      <c r="B1" s="1" t="s">
        <v>1</v>
      </c>
      <c r="C1" s="1" t="s">
        <v>2</v>
      </c>
      <c r="D1" s="2"/>
      <c r="E1" s="3" t="s">
        <v>3</v>
      </c>
      <c r="F1" s="3" t="s">
        <v>4</v>
      </c>
      <c r="G1" s="3" t="s">
        <v>5</v>
      </c>
      <c r="H1" s="3" t="s">
        <v>6</v>
      </c>
      <c r="I1" s="2"/>
      <c r="J1" s="2"/>
      <c r="K1" s="3" t="s">
        <v>7</v>
      </c>
      <c r="L1" s="3" t="s">
        <v>8</v>
      </c>
      <c r="M1" s="2"/>
      <c r="P1" s="2"/>
      <c r="Q1" s="4" t="s">
        <v>9</v>
      </c>
      <c r="R1" s="2"/>
      <c r="S1" s="2"/>
      <c r="T1" s="2"/>
      <c r="U1" s="2"/>
      <c r="V1" s="2"/>
      <c r="W1" s="2"/>
      <c r="X1" s="2"/>
      <c r="Y1" s="2"/>
      <c r="Z1" s="2"/>
    </row>
    <row r="2" ht="31.5" customHeight="1">
      <c r="A2" s="5">
        <v>1.0</v>
      </c>
      <c r="B2" s="5" t="s">
        <v>10</v>
      </c>
      <c r="C2" s="5">
        <v>0.0</v>
      </c>
      <c r="D2" s="4"/>
      <c r="E2" s="2"/>
      <c r="F2" s="2"/>
      <c r="G2" s="4">
        <v>1.0</v>
      </c>
      <c r="H2" s="4"/>
      <c r="I2" s="2"/>
      <c r="J2" s="3" t="s">
        <v>11</v>
      </c>
      <c r="K2" s="4" t="s">
        <v>3</v>
      </c>
      <c r="L2" s="4" t="s">
        <v>4</v>
      </c>
      <c r="M2" s="2"/>
      <c r="N2" s="6" t="s">
        <v>12</v>
      </c>
      <c r="O2" s="6" t="s">
        <v>13</v>
      </c>
      <c r="P2" s="6" t="s">
        <v>14</v>
      </c>
      <c r="Q2" s="2">
        <f t="shared" ref="Q2:Q3" si="1">_xlfn.NORM.S.INV(P3)</f>
        <v>0.08755224654</v>
      </c>
      <c r="R2" s="2"/>
      <c r="S2" s="2"/>
      <c r="T2" s="2"/>
      <c r="U2" s="2"/>
      <c r="V2" s="2"/>
      <c r="W2" s="2"/>
      <c r="X2" s="2"/>
      <c r="Y2" s="2"/>
      <c r="Z2" s="2"/>
    </row>
    <row r="3">
      <c r="A3" s="7">
        <v>0.0</v>
      </c>
      <c r="B3" s="7" t="s">
        <v>15</v>
      </c>
      <c r="C3" s="7">
        <v>0.0</v>
      </c>
      <c r="D3" s="2"/>
      <c r="E3" s="4"/>
      <c r="F3" s="4">
        <v>1.0</v>
      </c>
      <c r="G3" s="2"/>
      <c r="H3" s="2"/>
      <c r="I3" s="2"/>
      <c r="J3" s="3" t="s">
        <v>16</v>
      </c>
      <c r="K3" s="4" t="s">
        <v>17</v>
      </c>
      <c r="L3" s="4" t="s">
        <v>6</v>
      </c>
      <c r="M3" s="2"/>
      <c r="N3" s="8" t="s">
        <v>18</v>
      </c>
      <c r="O3" s="8" t="s">
        <v>19</v>
      </c>
      <c r="P3" s="9">
        <f>E102/(E102+F102)</f>
        <v>0.5348837209</v>
      </c>
      <c r="Q3" s="2">
        <f t="shared" si="1"/>
        <v>0.06601181243</v>
      </c>
      <c r="R3" s="2"/>
      <c r="S3" s="2"/>
      <c r="T3" s="2"/>
      <c r="U3" s="2"/>
      <c r="V3" s="2"/>
      <c r="W3" s="2"/>
      <c r="X3" s="2"/>
      <c r="Y3" s="2"/>
      <c r="Z3" s="2"/>
    </row>
    <row r="4">
      <c r="A4" s="7">
        <v>0.0</v>
      </c>
      <c r="B4" s="7" t="s">
        <v>15</v>
      </c>
      <c r="C4" s="7">
        <v>0.0</v>
      </c>
      <c r="D4" s="2"/>
      <c r="E4" s="4"/>
      <c r="F4" s="4">
        <v>1.0</v>
      </c>
      <c r="G4" s="2"/>
      <c r="H4" s="2"/>
      <c r="I4" s="2"/>
      <c r="J4" s="2"/>
      <c r="K4" s="2"/>
      <c r="L4" s="2"/>
      <c r="M4" s="2"/>
      <c r="N4" s="10" t="s">
        <v>20</v>
      </c>
      <c r="O4" s="10" t="s">
        <v>21</v>
      </c>
      <c r="P4" s="11">
        <f>G102/(G102+H102)</f>
        <v>0.5263157895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-3.0</v>
      </c>
      <c r="B5" s="5" t="s">
        <v>10</v>
      </c>
      <c r="C5" s="5">
        <v>0.0</v>
      </c>
      <c r="D5" s="4"/>
      <c r="E5" s="2"/>
      <c r="F5" s="2"/>
      <c r="G5" s="4">
        <v>1.0</v>
      </c>
      <c r="H5" s="2"/>
      <c r="I5" s="2"/>
      <c r="J5" s="2"/>
      <c r="K5" s="2"/>
      <c r="L5" s="2"/>
      <c r="M5" s="2"/>
      <c r="N5" s="8" t="s">
        <v>22</v>
      </c>
      <c r="O5" s="8" t="s">
        <v>23</v>
      </c>
      <c r="P5" s="9">
        <f>Q2-Q3</f>
        <v>0.02154043411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-3.0</v>
      </c>
      <c r="B6" s="5" t="s">
        <v>15</v>
      </c>
      <c r="C6" s="5">
        <v>1.0</v>
      </c>
      <c r="D6" s="4"/>
      <c r="E6" s="2"/>
      <c r="F6" s="2"/>
      <c r="G6" s="2"/>
      <c r="H6" s="4">
        <v>1.0</v>
      </c>
      <c r="I6" s="2"/>
      <c r="J6" s="2"/>
      <c r="K6" s="2"/>
      <c r="L6" s="2"/>
      <c r="M6" s="2"/>
      <c r="N6" s="10" t="s">
        <v>24</v>
      </c>
      <c r="O6" s="10" t="s">
        <v>25</v>
      </c>
      <c r="P6" s="11">
        <f>(-Q2)+(Q3/2)</f>
        <v>-0.05454634033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0.0</v>
      </c>
      <c r="B7" s="7" t="s">
        <v>15</v>
      </c>
      <c r="C7" s="7">
        <v>0.0</v>
      </c>
      <c r="D7" s="2"/>
      <c r="E7" s="2"/>
      <c r="F7" s="4">
        <v>1.0</v>
      </c>
      <c r="G7" s="2"/>
      <c r="H7" s="2"/>
      <c r="I7" s="2"/>
      <c r="J7" s="12" t="s">
        <v>26</v>
      </c>
      <c r="K7" s="12" t="s">
        <v>27</v>
      </c>
      <c r="L7" s="2"/>
      <c r="M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v>0.0</v>
      </c>
      <c r="B8" s="7" t="s">
        <v>10</v>
      </c>
      <c r="C8" s="7">
        <v>1.0</v>
      </c>
      <c r="D8" s="2"/>
      <c r="E8" s="4">
        <v>1.0</v>
      </c>
      <c r="F8" s="2"/>
      <c r="G8" s="2"/>
      <c r="H8" s="2"/>
      <c r="I8" s="2"/>
      <c r="J8" s="13" t="s">
        <v>3</v>
      </c>
      <c r="K8" s="13">
        <v>23.0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-2.0</v>
      </c>
      <c r="B9" s="5" t="s">
        <v>10</v>
      </c>
      <c r="C9" s="5">
        <v>0.0</v>
      </c>
      <c r="D9" s="4"/>
      <c r="E9" s="2"/>
      <c r="F9" s="2"/>
      <c r="G9" s="4">
        <v>1.0</v>
      </c>
      <c r="H9" s="2"/>
      <c r="I9" s="2"/>
      <c r="J9" s="14" t="s">
        <v>4</v>
      </c>
      <c r="K9" s="14">
        <v>20.0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-2.0</v>
      </c>
      <c r="B10" s="5" t="s">
        <v>15</v>
      </c>
      <c r="C10" s="5">
        <v>1.0</v>
      </c>
      <c r="D10" s="4"/>
      <c r="E10" s="2"/>
      <c r="F10" s="2"/>
      <c r="G10" s="2"/>
      <c r="H10" s="4">
        <v>1.0</v>
      </c>
      <c r="I10" s="2"/>
      <c r="J10" s="13" t="s">
        <v>6</v>
      </c>
      <c r="K10" s="13">
        <v>27.0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1.0</v>
      </c>
      <c r="B11" s="5" t="s">
        <v>10</v>
      </c>
      <c r="C11" s="5">
        <v>0.0</v>
      </c>
      <c r="D11" s="4"/>
      <c r="E11" s="2"/>
      <c r="F11" s="2"/>
      <c r="G11" s="4">
        <v>1.0</v>
      </c>
      <c r="H11" s="2"/>
      <c r="I11" s="2"/>
      <c r="J11" s="14" t="s">
        <v>17</v>
      </c>
      <c r="K11" s="14">
        <v>30.0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v>0.0</v>
      </c>
      <c r="B12" s="7" t="s">
        <v>15</v>
      </c>
      <c r="C12" s="7">
        <v>0.0</v>
      </c>
      <c r="D12" s="2"/>
      <c r="E12" s="2"/>
      <c r="F12" s="4">
        <v>1.0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-3.0</v>
      </c>
      <c r="B13" s="5" t="s">
        <v>15</v>
      </c>
      <c r="C13" s="5">
        <v>1.0</v>
      </c>
      <c r="D13" s="4"/>
      <c r="E13" s="2"/>
      <c r="F13" s="2"/>
      <c r="G13" s="2"/>
      <c r="H13" s="4">
        <v>1.0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v>0.0</v>
      </c>
      <c r="B14" s="7" t="s">
        <v>10</v>
      </c>
      <c r="C14" s="7">
        <v>1.0</v>
      </c>
      <c r="D14" s="2"/>
      <c r="E14" s="4">
        <v>1.0</v>
      </c>
      <c r="F14" s="2"/>
      <c r="G14" s="2"/>
      <c r="H14" s="2"/>
      <c r="I14" s="2"/>
      <c r="J14" s="4" t="s">
        <v>11</v>
      </c>
      <c r="K14" s="2">
        <f>count(C3,C4,C7:C8,C12,C14,C20,C23:C24,C26,C29,C33:C34,C36,C44,C46:C47,C49,C51,C53,C55,C57,C59,C63:C66,C71,C75,C78,C80:C81,C84,C86,C88:C89,C91:C92,C96,C98:C101)</f>
        <v>43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3.0</v>
      </c>
      <c r="B15" s="5" t="s">
        <v>15</v>
      </c>
      <c r="C15" s="5">
        <v>1.0</v>
      </c>
      <c r="D15" s="4"/>
      <c r="E15" s="2"/>
      <c r="F15" s="2"/>
      <c r="G15" s="2"/>
      <c r="H15" s="4">
        <v>1.0</v>
      </c>
      <c r="I15" s="2"/>
      <c r="J15" s="4" t="s">
        <v>16</v>
      </c>
      <c r="K15" s="2">
        <f>100-K14</f>
        <v>57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-2.0</v>
      </c>
      <c r="B16" s="5" t="s">
        <v>15</v>
      </c>
      <c r="C16" s="5">
        <v>1.0</v>
      </c>
      <c r="D16" s="4"/>
      <c r="E16" s="2"/>
      <c r="F16" s="2"/>
      <c r="G16" s="2"/>
      <c r="H16" s="4">
        <v>1.0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>
        <v>-5.0</v>
      </c>
      <c r="B17" s="5" t="s">
        <v>10</v>
      </c>
      <c r="C17" s="5">
        <v>0.0</v>
      </c>
      <c r="D17" s="4"/>
      <c r="E17" s="2"/>
      <c r="F17" s="2"/>
      <c r="G17" s="4">
        <v>1.0</v>
      </c>
      <c r="H17" s="2"/>
      <c r="I17" s="2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>
        <v>-2.0</v>
      </c>
      <c r="B18" s="5" t="s">
        <v>10</v>
      </c>
      <c r="C18" s="5">
        <v>0.0</v>
      </c>
      <c r="D18" s="4"/>
      <c r="E18" s="2"/>
      <c r="F18" s="2"/>
      <c r="G18" s="4">
        <v>1.0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4.0</v>
      </c>
      <c r="B19" s="5" t="s">
        <v>10</v>
      </c>
      <c r="C19" s="5">
        <v>0.0</v>
      </c>
      <c r="D19" s="4"/>
      <c r="E19" s="2"/>
      <c r="F19" s="2"/>
      <c r="G19" s="4">
        <v>1.0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v>0.0</v>
      </c>
      <c r="B20" s="7" t="s">
        <v>15</v>
      </c>
      <c r="C20" s="7">
        <v>0.0</v>
      </c>
      <c r="D20" s="2"/>
      <c r="E20" s="2"/>
      <c r="F20" s="4">
        <v>1.0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>
        <v>1.0</v>
      </c>
      <c r="B21" s="5" t="s">
        <v>15</v>
      </c>
      <c r="C21" s="5">
        <v>1.0</v>
      </c>
      <c r="D21" s="4"/>
      <c r="E21" s="2"/>
      <c r="F21" s="2"/>
      <c r="G21" s="2"/>
      <c r="H21" s="4">
        <v>1.0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>
        <v>4.0</v>
      </c>
      <c r="B22" s="5" t="s">
        <v>15</v>
      </c>
      <c r="C22" s="5">
        <v>1.0</v>
      </c>
      <c r="D22" s="4"/>
      <c r="E22" s="2"/>
      <c r="F22" s="2"/>
      <c r="G22" s="2"/>
      <c r="H22" s="4">
        <v>1.0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>
        <v>0.0</v>
      </c>
      <c r="B23" s="7" t="s">
        <v>10</v>
      </c>
      <c r="C23" s="7">
        <v>1.0</v>
      </c>
      <c r="D23" s="2"/>
      <c r="E23" s="4">
        <v>1.0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>
        <v>0.0</v>
      </c>
      <c r="B24" s="7" t="s">
        <v>10</v>
      </c>
      <c r="C24" s="7">
        <v>1.0</v>
      </c>
      <c r="D24" s="2"/>
      <c r="E24" s="4">
        <v>1.0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>
        <v>1.0</v>
      </c>
      <c r="B25" s="5" t="s">
        <v>15</v>
      </c>
      <c r="C25" s="5">
        <v>1.0</v>
      </c>
      <c r="D25" s="4"/>
      <c r="E25" s="2"/>
      <c r="F25" s="2"/>
      <c r="G25" s="2"/>
      <c r="H25" s="4">
        <v>1.0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>
        <v>0.0</v>
      </c>
      <c r="B26" s="7" t="s">
        <v>10</v>
      </c>
      <c r="C26" s="7">
        <v>1.0</v>
      </c>
      <c r="D26" s="2"/>
      <c r="E26" s="4">
        <v>1.0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>
        <v>-4.0</v>
      </c>
      <c r="B27" s="5" t="s">
        <v>10</v>
      </c>
      <c r="C27" s="5">
        <v>0.0</v>
      </c>
      <c r="D27" s="4"/>
      <c r="E27" s="2"/>
      <c r="F27" s="2"/>
      <c r="G27" s="4">
        <v>1.0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>
        <v>-2.0</v>
      </c>
      <c r="B28" s="5" t="s">
        <v>15</v>
      </c>
      <c r="C28" s="5">
        <v>1.0</v>
      </c>
      <c r="D28" s="4"/>
      <c r="E28" s="2"/>
      <c r="F28" s="2"/>
      <c r="G28" s="2"/>
      <c r="H28" s="4">
        <v>1.0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>
        <v>0.0</v>
      </c>
      <c r="B29" s="7" t="s">
        <v>10</v>
      </c>
      <c r="C29" s="7">
        <v>1.0</v>
      </c>
      <c r="D29" s="2"/>
      <c r="E29" s="4">
        <v>1.0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>
        <v>-5.0</v>
      </c>
      <c r="B30" s="5" t="s">
        <v>15</v>
      </c>
      <c r="C30" s="5">
        <v>1.0</v>
      </c>
      <c r="D30" s="4"/>
      <c r="E30" s="2"/>
      <c r="F30" s="2"/>
      <c r="G30" s="2"/>
      <c r="H30" s="4">
        <v>1.0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>
        <v>-4.0</v>
      </c>
      <c r="B31" s="5" t="s">
        <v>15</v>
      </c>
      <c r="C31" s="5">
        <v>1.0</v>
      </c>
      <c r="D31" s="4"/>
      <c r="E31" s="2"/>
      <c r="F31" s="2"/>
      <c r="G31" s="2"/>
      <c r="H31" s="4">
        <v>1.0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>
        <v>-5.0</v>
      </c>
      <c r="B32" s="5" t="s">
        <v>10</v>
      </c>
      <c r="C32" s="5">
        <v>0.0</v>
      </c>
      <c r="D32" s="4"/>
      <c r="E32" s="2"/>
      <c r="F32" s="2"/>
      <c r="G32" s="4">
        <v>1.0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>
        <v>0.0</v>
      </c>
      <c r="B33" s="7" t="s">
        <v>15</v>
      </c>
      <c r="C33" s="7">
        <v>0.0</v>
      </c>
      <c r="D33" s="2"/>
      <c r="E33" s="4"/>
      <c r="F33" s="4">
        <v>1.0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>
        <v>0.0</v>
      </c>
      <c r="B34" s="7" t="s">
        <v>15</v>
      </c>
      <c r="C34" s="7">
        <v>0.0</v>
      </c>
      <c r="D34" s="2"/>
      <c r="E34" s="4"/>
      <c r="F34" s="4">
        <v>1.0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>
        <v>-4.0</v>
      </c>
      <c r="B35" s="5" t="s">
        <v>10</v>
      </c>
      <c r="C35" s="5">
        <v>0.0</v>
      </c>
      <c r="D35" s="4"/>
      <c r="E35" s="2"/>
      <c r="F35" s="2"/>
      <c r="G35" s="4">
        <v>1.0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>
        <v>0.0</v>
      </c>
      <c r="B36" s="7" t="s">
        <v>10</v>
      </c>
      <c r="C36" s="7">
        <v>1.0</v>
      </c>
      <c r="D36" s="2"/>
      <c r="E36" s="4">
        <v>1.0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>
        <v>2.0</v>
      </c>
      <c r="B37" s="5" t="s">
        <v>10</v>
      </c>
      <c r="C37" s="5">
        <v>0.0</v>
      </c>
      <c r="D37" s="4"/>
      <c r="E37" s="2"/>
      <c r="F37" s="4"/>
      <c r="G37" s="4">
        <v>1.0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>
        <v>-2.0</v>
      </c>
      <c r="B38" s="5" t="s">
        <v>15</v>
      </c>
      <c r="C38" s="5">
        <v>1.0</v>
      </c>
      <c r="D38" s="4"/>
      <c r="E38" s="2"/>
      <c r="F38" s="2"/>
      <c r="G38" s="2"/>
      <c r="H38" s="4">
        <v>1.0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>
        <v>-5.0</v>
      </c>
      <c r="B39" s="5" t="s">
        <v>10</v>
      </c>
      <c r="C39" s="5">
        <v>0.0</v>
      </c>
      <c r="D39" s="4"/>
      <c r="E39" s="2"/>
      <c r="F39" s="2"/>
      <c r="G39" s="4">
        <v>1.0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>
        <v>-5.0</v>
      </c>
      <c r="B40" s="5" t="s">
        <v>15</v>
      </c>
      <c r="C40" s="5">
        <v>1.0</v>
      </c>
      <c r="D40" s="4"/>
      <c r="E40" s="2"/>
      <c r="F40" s="2"/>
      <c r="G40" s="2"/>
      <c r="H40" s="4">
        <v>1.0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>
        <v>3.0</v>
      </c>
      <c r="B41" s="5" t="s">
        <v>10</v>
      </c>
      <c r="C41" s="5">
        <v>0.0</v>
      </c>
      <c r="D41" s="4"/>
      <c r="E41" s="2"/>
      <c r="F41" s="2"/>
      <c r="G41" s="4">
        <v>1.0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>
        <v>2.0</v>
      </c>
      <c r="B42" s="5" t="s">
        <v>10</v>
      </c>
      <c r="C42" s="5">
        <v>0.0</v>
      </c>
      <c r="D42" s="4"/>
      <c r="E42" s="2"/>
      <c r="F42" s="2"/>
      <c r="G42" s="4">
        <v>1.0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>
        <v>1.0</v>
      </c>
      <c r="B43" s="5" t="s">
        <v>10</v>
      </c>
      <c r="C43" s="5">
        <v>0.0</v>
      </c>
      <c r="D43" s="4"/>
      <c r="E43" s="2"/>
      <c r="F43" s="2"/>
      <c r="G43" s="4">
        <v>1.0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>
        <v>0.0</v>
      </c>
      <c r="B44" s="7" t="s">
        <v>15</v>
      </c>
      <c r="C44" s="7">
        <v>0.0</v>
      </c>
      <c r="D44" s="2"/>
      <c r="E44" s="2"/>
      <c r="F44" s="4">
        <v>1.0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>
        <v>-3.0</v>
      </c>
      <c r="B45" s="5" t="s">
        <v>10</v>
      </c>
      <c r="C45" s="5">
        <v>0.0</v>
      </c>
      <c r="D45" s="4"/>
      <c r="E45" s="2"/>
      <c r="F45" s="2"/>
      <c r="G45" s="4">
        <v>1.0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>
        <v>0.0</v>
      </c>
      <c r="B46" s="7" t="s">
        <v>15</v>
      </c>
      <c r="C46" s="7">
        <v>0.0</v>
      </c>
      <c r="D46" s="2"/>
      <c r="E46" s="2"/>
      <c r="F46" s="4">
        <v>1.0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>
        <v>0.0</v>
      </c>
      <c r="B47" s="7" t="s">
        <v>10</v>
      </c>
      <c r="C47" s="7">
        <v>1.0</v>
      </c>
      <c r="D47" s="2"/>
      <c r="E47" s="4">
        <v>1.0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>
        <v>4.0</v>
      </c>
      <c r="B48" s="5" t="s">
        <v>15</v>
      </c>
      <c r="C48" s="5">
        <v>1.0</v>
      </c>
      <c r="D48" s="4"/>
      <c r="E48" s="2"/>
      <c r="F48" s="2"/>
      <c r="G48" s="2"/>
      <c r="H48" s="4">
        <v>1.0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>
        <v>0.0</v>
      </c>
      <c r="B49" s="7" t="s">
        <v>15</v>
      </c>
      <c r="C49" s="7">
        <v>0.0</v>
      </c>
      <c r="D49" s="2"/>
      <c r="E49" s="2"/>
      <c r="F49" s="4">
        <v>1.0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>
        <v>2.0</v>
      </c>
      <c r="B50" s="5" t="s">
        <v>10</v>
      </c>
      <c r="C50" s="5">
        <v>0.0</v>
      </c>
      <c r="D50" s="4"/>
      <c r="E50" s="2"/>
      <c r="F50" s="2"/>
      <c r="G50" s="4">
        <v>1.0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>
        <v>0.0</v>
      </c>
      <c r="B51" s="7" t="s">
        <v>15</v>
      </c>
      <c r="C51" s="7">
        <v>0.0</v>
      </c>
      <c r="D51" s="2"/>
      <c r="E51" s="2"/>
      <c r="F51" s="4">
        <v>1.0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>
        <v>-2.0</v>
      </c>
      <c r="B52" s="5" t="s">
        <v>10</v>
      </c>
      <c r="C52" s="5">
        <v>0.0</v>
      </c>
      <c r="D52" s="4"/>
      <c r="E52" s="2"/>
      <c r="F52" s="2"/>
      <c r="G52" s="4">
        <v>1.0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>
        <v>0.0</v>
      </c>
      <c r="B53" s="7" t="s">
        <v>10</v>
      </c>
      <c r="C53" s="7">
        <v>1.0</v>
      </c>
      <c r="D53" s="2"/>
      <c r="E53" s="4">
        <v>1.0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>
        <v>2.0</v>
      </c>
      <c r="B54" s="5" t="s">
        <v>15</v>
      </c>
      <c r="C54" s="5">
        <v>1.0</v>
      </c>
      <c r="D54" s="4"/>
      <c r="E54" s="2"/>
      <c r="F54" s="2"/>
      <c r="G54" s="2"/>
      <c r="H54" s="4">
        <v>1.0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>
        <v>0.0</v>
      </c>
      <c r="B55" s="7" t="s">
        <v>10</v>
      </c>
      <c r="C55" s="7">
        <v>1.0</v>
      </c>
      <c r="D55" s="2"/>
      <c r="E55" s="4">
        <v>1.0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>
        <v>-2.0</v>
      </c>
      <c r="B56" s="5" t="s">
        <v>15</v>
      </c>
      <c r="C56" s="5">
        <v>1.0</v>
      </c>
      <c r="D56" s="4"/>
      <c r="E56" s="2"/>
      <c r="F56" s="2"/>
      <c r="G56" s="2"/>
      <c r="H56" s="4">
        <v>1.0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>
        <v>0.0</v>
      </c>
      <c r="B57" s="7" t="s">
        <v>15</v>
      </c>
      <c r="C57" s="7">
        <v>0.0</v>
      </c>
      <c r="D57" s="2"/>
      <c r="E57" s="2"/>
      <c r="F57" s="4">
        <v>1.0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>
        <v>-2.0</v>
      </c>
      <c r="B58" s="5" t="s">
        <v>10</v>
      </c>
      <c r="C58" s="5">
        <v>0.0</v>
      </c>
      <c r="D58" s="4"/>
      <c r="E58" s="2"/>
      <c r="F58" s="2"/>
      <c r="G58" s="4">
        <v>1.0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>
        <v>0.0</v>
      </c>
      <c r="B59" s="7" t="s">
        <v>10</v>
      </c>
      <c r="C59" s="7">
        <v>1.0</v>
      </c>
      <c r="D59" s="2"/>
      <c r="E59" s="4">
        <v>1.0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>
        <v>-2.0</v>
      </c>
      <c r="B60" s="5" t="s">
        <v>15</v>
      </c>
      <c r="C60" s="5">
        <v>1.0</v>
      </c>
      <c r="D60" s="4"/>
      <c r="E60" s="2"/>
      <c r="F60" s="2"/>
      <c r="G60" s="2"/>
      <c r="H60" s="4">
        <v>1.0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>
        <v>-3.0</v>
      </c>
      <c r="B61" s="5" t="s">
        <v>15</v>
      </c>
      <c r="C61" s="5">
        <v>1.0</v>
      </c>
      <c r="D61" s="4"/>
      <c r="E61" s="2"/>
      <c r="F61" s="2"/>
      <c r="G61" s="2"/>
      <c r="H61" s="4">
        <v>1.0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>
        <v>-3.0</v>
      </c>
      <c r="B62" s="5" t="s">
        <v>15</v>
      </c>
      <c r="C62" s="5">
        <v>1.0</v>
      </c>
      <c r="D62" s="4"/>
      <c r="E62" s="2"/>
      <c r="F62" s="2"/>
      <c r="G62" s="2"/>
      <c r="H62" s="4">
        <v>1.0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>
        <v>0.0</v>
      </c>
      <c r="B63" s="7" t="s">
        <v>15</v>
      </c>
      <c r="C63" s="7">
        <v>0.0</v>
      </c>
      <c r="D63" s="2"/>
      <c r="E63" s="2"/>
      <c r="F63" s="4">
        <v>1.0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>
        <v>0.0</v>
      </c>
      <c r="B64" s="7" t="s">
        <v>10</v>
      </c>
      <c r="C64" s="7">
        <v>1.0</v>
      </c>
      <c r="D64" s="2"/>
      <c r="E64" s="4">
        <v>1.0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>
        <v>0.0</v>
      </c>
      <c r="B65" s="7" t="s">
        <v>15</v>
      </c>
      <c r="C65" s="7">
        <v>0.0</v>
      </c>
      <c r="D65" s="2"/>
      <c r="E65" s="2"/>
      <c r="F65" s="4">
        <v>1.0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>
        <v>0.0</v>
      </c>
      <c r="B66" s="7" t="s">
        <v>10</v>
      </c>
      <c r="C66" s="7">
        <v>1.0</v>
      </c>
      <c r="D66" s="2"/>
      <c r="E66" s="4">
        <v>1.0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>
        <v>-3.0</v>
      </c>
      <c r="B67" s="5" t="s">
        <v>10</v>
      </c>
      <c r="C67" s="5">
        <v>0.0</v>
      </c>
      <c r="D67" s="4"/>
      <c r="E67" s="2"/>
      <c r="F67" s="2"/>
      <c r="G67" s="4">
        <v>1.0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>
        <v>3.0</v>
      </c>
      <c r="B68" s="5" t="s">
        <v>15</v>
      </c>
      <c r="C68" s="5">
        <v>1.0</v>
      </c>
      <c r="D68" s="4"/>
      <c r="E68" s="2"/>
      <c r="F68" s="2"/>
      <c r="G68" s="2"/>
      <c r="H68" s="4">
        <v>1.0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>
        <v>-5.0</v>
      </c>
      <c r="B69" s="5" t="s">
        <v>10</v>
      </c>
      <c r="C69" s="5">
        <v>0.0</v>
      </c>
      <c r="D69" s="4"/>
      <c r="E69" s="2"/>
      <c r="F69" s="2"/>
      <c r="G69" s="4">
        <v>1.0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>
        <v>-5.0</v>
      </c>
      <c r="B70" s="5" t="s">
        <v>10</v>
      </c>
      <c r="C70" s="5">
        <v>0.0</v>
      </c>
      <c r="D70" s="4"/>
      <c r="E70" s="2"/>
      <c r="F70" s="2"/>
      <c r="G70" s="4">
        <v>1.0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>
        <v>0.0</v>
      </c>
      <c r="B71" s="7" t="s">
        <v>10</v>
      </c>
      <c r="C71" s="7">
        <v>1.0</v>
      </c>
      <c r="D71" s="2"/>
      <c r="E71" s="4">
        <v>1.0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>
        <v>3.0</v>
      </c>
      <c r="B72" s="5" t="s">
        <v>15</v>
      </c>
      <c r="C72" s="5">
        <v>1.0</v>
      </c>
      <c r="D72" s="4"/>
      <c r="E72" s="2"/>
      <c r="F72" s="2"/>
      <c r="G72" s="2"/>
      <c r="H72" s="4">
        <v>1.0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>
        <v>3.0</v>
      </c>
      <c r="B73" s="5" t="s">
        <v>15</v>
      </c>
      <c r="C73" s="5">
        <v>1.0</v>
      </c>
      <c r="D73" s="4"/>
      <c r="E73" s="2"/>
      <c r="F73" s="2"/>
      <c r="G73" s="2"/>
      <c r="H73" s="4">
        <v>1.0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>
        <v>-5.0</v>
      </c>
      <c r="B74" s="5" t="s">
        <v>15</v>
      </c>
      <c r="C74" s="5">
        <v>1.0</v>
      </c>
      <c r="D74" s="4"/>
      <c r="E74" s="2"/>
      <c r="F74" s="2"/>
      <c r="G74" s="2"/>
      <c r="H74" s="4">
        <v>1.0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>
        <v>0.0</v>
      </c>
      <c r="B75" s="7" t="s">
        <v>10</v>
      </c>
      <c r="C75" s="7">
        <v>1.0</v>
      </c>
      <c r="D75" s="2"/>
      <c r="E75" s="4">
        <v>1.0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>
        <v>-5.0</v>
      </c>
      <c r="B76" s="5" t="s">
        <v>10</v>
      </c>
      <c r="C76" s="5">
        <v>0.0</v>
      </c>
      <c r="D76" s="4"/>
      <c r="E76" s="2"/>
      <c r="F76" s="2"/>
      <c r="G76" s="4">
        <v>1.0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>
        <v>1.0</v>
      </c>
      <c r="B77" s="5" t="s">
        <v>10</v>
      </c>
      <c r="C77" s="5">
        <v>0.0</v>
      </c>
      <c r="D77" s="4"/>
      <c r="E77" s="2"/>
      <c r="F77" s="2"/>
      <c r="G77" s="4">
        <v>1.0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>
        <v>0.0</v>
      </c>
      <c r="B78" s="7" t="s">
        <v>10</v>
      </c>
      <c r="C78" s="7">
        <v>1.0</v>
      </c>
      <c r="D78" s="2"/>
      <c r="E78" s="4">
        <v>1.0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>
        <v>-4.0</v>
      </c>
      <c r="B79" s="5" t="s">
        <v>10</v>
      </c>
      <c r="C79" s="5">
        <v>0.0</v>
      </c>
      <c r="D79" s="4"/>
      <c r="E79" s="2"/>
      <c r="F79" s="2"/>
      <c r="G79" s="4">
        <v>1.0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>
        <v>0.0</v>
      </c>
      <c r="B80" s="7" t="s">
        <v>10</v>
      </c>
      <c r="C80" s="7">
        <v>1.0</v>
      </c>
      <c r="D80" s="2"/>
      <c r="E80" s="4">
        <v>1.0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>
        <v>0.0</v>
      </c>
      <c r="B81" s="7" t="s">
        <v>10</v>
      </c>
      <c r="C81" s="7">
        <v>1.0</v>
      </c>
      <c r="D81" s="2"/>
      <c r="E81" s="4">
        <v>1.0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>
        <v>1.0</v>
      </c>
      <c r="B82" s="5" t="s">
        <v>15</v>
      </c>
      <c r="C82" s="5">
        <v>1.0</v>
      </c>
      <c r="D82" s="4"/>
      <c r="E82" s="2"/>
      <c r="F82" s="2"/>
      <c r="G82" s="2"/>
      <c r="H82" s="4">
        <v>1.0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>
        <v>1.0</v>
      </c>
      <c r="B83" s="5" t="s">
        <v>10</v>
      </c>
      <c r="C83" s="5">
        <v>0.0</v>
      </c>
      <c r="D83" s="4"/>
      <c r="E83" s="2"/>
      <c r="F83" s="2"/>
      <c r="G83" s="4">
        <v>1.0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>
        <v>0.0</v>
      </c>
      <c r="B84" s="7" t="s">
        <v>15</v>
      </c>
      <c r="C84" s="7">
        <v>0.0</v>
      </c>
      <c r="D84" s="2"/>
      <c r="E84" s="2"/>
      <c r="F84" s="4">
        <v>1.0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>
        <v>-4.0</v>
      </c>
      <c r="B85" s="5" t="s">
        <v>10</v>
      </c>
      <c r="C85" s="5">
        <v>0.0</v>
      </c>
      <c r="D85" s="4"/>
      <c r="E85" s="2"/>
      <c r="F85" s="2"/>
      <c r="G85" s="4">
        <v>1.0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>
        <v>0.0</v>
      </c>
      <c r="B86" s="7" t="s">
        <v>10</v>
      </c>
      <c r="C86" s="7">
        <v>1.0</v>
      </c>
      <c r="D86" s="2"/>
      <c r="E86" s="4">
        <v>1.0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>
        <v>-5.0</v>
      </c>
      <c r="B87" s="5" t="s">
        <v>15</v>
      </c>
      <c r="C87" s="5">
        <v>1.0</v>
      </c>
      <c r="D87" s="4"/>
      <c r="E87" s="2"/>
      <c r="F87" s="2"/>
      <c r="G87" s="2"/>
      <c r="H87" s="4">
        <v>1.0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">
        <v>0.0</v>
      </c>
      <c r="B88" s="7" t="s">
        <v>10</v>
      </c>
      <c r="C88" s="7">
        <v>1.0</v>
      </c>
      <c r="D88" s="2"/>
      <c r="E88" s="4">
        <v>1.0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7">
        <v>0.0</v>
      </c>
      <c r="B89" s="7" t="s">
        <v>15</v>
      </c>
      <c r="C89" s="7">
        <v>0.0</v>
      </c>
      <c r="D89" s="2"/>
      <c r="E89" s="2"/>
      <c r="F89" s="4">
        <v>1.0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>
        <v>3.0</v>
      </c>
      <c r="B90" s="5" t="s">
        <v>15</v>
      </c>
      <c r="C90" s="5">
        <v>1.0</v>
      </c>
      <c r="D90" s="4"/>
      <c r="E90" s="2"/>
      <c r="F90" s="2"/>
      <c r="G90" s="2"/>
      <c r="H90" s="4">
        <v>1.0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7">
        <v>0.0</v>
      </c>
      <c r="B91" s="7" t="s">
        <v>15</v>
      </c>
      <c r="C91" s="7">
        <v>0.0</v>
      </c>
      <c r="D91" s="2"/>
      <c r="E91" s="2"/>
      <c r="F91" s="4">
        <v>1.0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7">
        <v>0.0</v>
      </c>
      <c r="B92" s="7" t="s">
        <v>15</v>
      </c>
      <c r="C92" s="7">
        <v>0.0</v>
      </c>
      <c r="D92" s="2"/>
      <c r="E92" s="2"/>
      <c r="F92" s="4">
        <v>1.0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>
        <v>4.0</v>
      </c>
      <c r="B93" s="5" t="s">
        <v>10</v>
      </c>
      <c r="C93" s="5">
        <v>0.0</v>
      </c>
      <c r="D93" s="4"/>
      <c r="E93" s="2"/>
      <c r="F93" s="2"/>
      <c r="G93" s="4">
        <v>1.0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>
        <v>4.0</v>
      </c>
      <c r="B94" s="5" t="s">
        <v>10</v>
      </c>
      <c r="C94" s="5">
        <v>0.0</v>
      </c>
      <c r="D94" s="4"/>
      <c r="E94" s="2"/>
      <c r="F94" s="2"/>
      <c r="G94" s="4">
        <v>1.0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>
        <v>-5.0</v>
      </c>
      <c r="B95" s="5" t="s">
        <v>10</v>
      </c>
      <c r="C95" s="5">
        <v>0.0</v>
      </c>
      <c r="D95" s="4"/>
      <c r="E95" s="2"/>
      <c r="F95" s="2"/>
      <c r="G95" s="4">
        <v>1.0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7">
        <v>0.0</v>
      </c>
      <c r="B96" s="7" t="s">
        <v>15</v>
      </c>
      <c r="C96" s="7">
        <v>0.0</v>
      </c>
      <c r="D96" s="2"/>
      <c r="E96" s="2"/>
      <c r="F96" s="4">
        <v>1.0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>
        <v>-2.0</v>
      </c>
      <c r="B97" s="5" t="s">
        <v>15</v>
      </c>
      <c r="C97" s="5">
        <v>1.0</v>
      </c>
      <c r="D97" s="4"/>
      <c r="E97" s="2"/>
      <c r="F97" s="2"/>
      <c r="G97" s="2"/>
      <c r="H97" s="4">
        <v>1.0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7">
        <v>0.0</v>
      </c>
      <c r="B98" s="7" t="s">
        <v>15</v>
      </c>
      <c r="C98" s="7">
        <v>0.0</v>
      </c>
      <c r="D98" s="2"/>
      <c r="E98" s="2"/>
      <c r="F98" s="4">
        <v>1.0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7">
        <v>0.0</v>
      </c>
      <c r="B99" s="7" t="s">
        <v>10</v>
      </c>
      <c r="C99" s="7">
        <v>1.0</v>
      </c>
      <c r="D99" s="2"/>
      <c r="E99" s="4">
        <v>1.0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7">
        <v>0.0</v>
      </c>
      <c r="B100" s="7" t="s">
        <v>10</v>
      </c>
      <c r="C100" s="7">
        <v>1.0</v>
      </c>
      <c r="D100" s="2"/>
      <c r="E100" s="4">
        <v>1.0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7">
        <v>0.0</v>
      </c>
      <c r="B101" s="7" t="s">
        <v>10</v>
      </c>
      <c r="C101" s="7">
        <v>1.0</v>
      </c>
      <c r="D101" s="2"/>
      <c r="E101" s="4">
        <v>1.0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15">
        <f t="shared" ref="E102:H102" si="2">SUM(E2:E101)</f>
        <v>23</v>
      </c>
      <c r="F102" s="15">
        <f t="shared" si="2"/>
        <v>20</v>
      </c>
      <c r="G102" s="15">
        <f t="shared" si="2"/>
        <v>30</v>
      </c>
      <c r="H102" s="15">
        <f t="shared" si="2"/>
        <v>27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