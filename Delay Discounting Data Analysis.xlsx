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visible" name="02" sheetId="2" r:id="rId5"/>
    <sheet state="visible" name="03" sheetId="3" r:id="rId6"/>
    <sheet state="visible" name="04" sheetId="4" r:id="rId7"/>
    <sheet state="visible" name="05" sheetId="5" r:id="rId8"/>
    <sheet state="visible" name="Data Analysis" sheetId="6" r:id="rId9"/>
  </sheets>
  <definedNames>
    <definedName hidden="1" localSheetId="0" name="_xlnm._FilterDatabase">'01'!$A$1:$W$1000</definedName>
    <definedName hidden="1" localSheetId="1" name="_xlnm._FilterDatabase">'02'!$A$1:$W$1000</definedName>
    <definedName hidden="1" localSheetId="2" name="_xlnm._FilterDatabase">'03'!$A$1:$W$1000</definedName>
    <definedName hidden="1" localSheetId="3" name="_xlnm._FilterDatabase">'04'!$A$1:$W$1000</definedName>
    <definedName hidden="1" localSheetId="4" name="_xlnm._FilterDatabase">'05'!$A$1:$W$1000</definedName>
  </definedNames>
  <calcPr/>
</workbook>
</file>

<file path=xl/sharedStrings.xml><?xml version="1.0" encoding="utf-8"?>
<sst xmlns="http://schemas.openxmlformats.org/spreadsheetml/2006/main" count="527" uniqueCount="9">
  <si>
    <t>reward_today</t>
  </si>
  <si>
    <t>future_reward</t>
  </si>
  <si>
    <t>delay</t>
  </si>
  <si>
    <t>key_resp.keys</t>
  </si>
  <si>
    <t>k</t>
  </si>
  <si>
    <t>l</t>
  </si>
  <si>
    <t>t</t>
  </si>
  <si>
    <t>Participant</t>
  </si>
  <si>
    <t>Estimated Discounting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</si>
</sst>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0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Estimated Discounting Value vs. Participant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'Data Analysis'!$B$1</c:f>
            </c:strRef>
          </c:tx>
          <c:spPr>
            <a:solidFill>
              <a:srgbClr val="E06666"/>
            </a:solidFill>
            <a:ln cmpd="sng">
              <a:solidFill>
                <a:srgbClr val="CC0000">
                  <a:alpha val="100000"/>
                </a:srgbClr>
              </a:solidFill>
            </a:ln>
          </c:spPr>
          <c:dPt>
            <c:idx val="2"/>
          </c:dPt>
          <c:cat>
            <c:strRef>
              <c:f>'Data Analysis'!$A$2:$A$6</c:f>
            </c:strRef>
          </c:cat>
          <c:val>
            <c:numRef>
              <c:f>'Data Analysis'!$B$2:$B$6</c:f>
              <c:numCache/>
            </c:numRef>
          </c:val>
        </c:ser>
        <c:axId val="112580697"/>
        <c:axId val="563473120"/>
      </c:barChart>
      <c:catAx>
        <c:axId val="112580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Participant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3473120"/>
      </c:catAx>
      <c:valAx>
        <c:axId val="563473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Estimated Discounting Value (k)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5806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276225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4.63"/>
    <col customWidth="1" min="4" max="4" width="17.0"/>
    <col customWidth="1" min="5" max="23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1">
        <v>62.0</v>
      </c>
      <c r="B2" s="4">
        <v>86.0</v>
      </c>
      <c r="C2" s="4">
        <v>90.0</v>
      </c>
      <c r="D2" s="4" t="s">
        <v>5</v>
      </c>
      <c r="E2" s="3">
        <f t="shared" ref="E2:E101" si="1">((B2/A2)-1)/C2</f>
        <v>0.004301075269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1">
        <v>35.0</v>
      </c>
      <c r="B3" s="4">
        <v>60.0</v>
      </c>
      <c r="C3" s="4">
        <v>35.0</v>
      </c>
      <c r="D3" s="4" t="s">
        <v>5</v>
      </c>
      <c r="E3" s="3">
        <f t="shared" si="1"/>
        <v>0.02040816327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1">
        <v>33.0</v>
      </c>
      <c r="B4" s="4">
        <v>55.0</v>
      </c>
      <c r="C4" s="4">
        <v>30.0</v>
      </c>
      <c r="D4" s="4" t="s">
        <v>5</v>
      </c>
      <c r="E4" s="3">
        <f t="shared" si="1"/>
        <v>0.02222222222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1">
        <v>118.0</v>
      </c>
      <c r="B5" s="4">
        <v>270.0</v>
      </c>
      <c r="C5" s="4">
        <v>57.0</v>
      </c>
      <c r="D5" s="4" t="s">
        <v>5</v>
      </c>
      <c r="E5" s="3">
        <f t="shared" si="1"/>
        <v>0.02259887006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1">
        <v>116.0</v>
      </c>
      <c r="B6" s="4">
        <v>265.0</v>
      </c>
      <c r="C6" s="4">
        <v>56.0</v>
      </c>
      <c r="D6" s="4" t="s">
        <v>5</v>
      </c>
      <c r="E6" s="3">
        <f t="shared" si="1"/>
        <v>0.02293719212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1">
        <v>114.0</v>
      </c>
      <c r="B7" s="4">
        <v>260.0</v>
      </c>
      <c r="C7" s="4">
        <v>55.0</v>
      </c>
      <c r="D7" s="4" t="s">
        <v>5</v>
      </c>
      <c r="E7" s="3">
        <f t="shared" si="1"/>
        <v>0.02328548644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1">
        <v>112.0</v>
      </c>
      <c r="B8" s="4">
        <v>255.0</v>
      </c>
      <c r="C8" s="4">
        <v>54.0</v>
      </c>
      <c r="D8" s="4" t="s">
        <v>5</v>
      </c>
      <c r="E8" s="3">
        <f t="shared" si="1"/>
        <v>0.02364417989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1">
        <v>110.0</v>
      </c>
      <c r="B9" s="4">
        <v>250.0</v>
      </c>
      <c r="C9" s="4">
        <v>53.0</v>
      </c>
      <c r="D9" s="4" t="s">
        <v>5</v>
      </c>
      <c r="E9" s="3">
        <f t="shared" si="1"/>
        <v>0.02401372213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1">
        <v>108.0</v>
      </c>
      <c r="B10" s="4">
        <v>245.0</v>
      </c>
      <c r="C10" s="4">
        <v>52.0</v>
      </c>
      <c r="D10" s="4" t="s">
        <v>5</v>
      </c>
      <c r="E10" s="3">
        <f t="shared" si="1"/>
        <v>0.02439458689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1">
        <v>106.0</v>
      </c>
      <c r="B11" s="4">
        <v>240.0</v>
      </c>
      <c r="C11" s="4">
        <v>51.0</v>
      </c>
      <c r="D11" s="4" t="s">
        <v>5</v>
      </c>
      <c r="E11" s="3">
        <f t="shared" si="1"/>
        <v>0.0247872734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1">
        <v>104.0</v>
      </c>
      <c r="B12" s="4">
        <v>235.0</v>
      </c>
      <c r="C12" s="4">
        <v>50.0</v>
      </c>
      <c r="D12" s="4" t="s">
        <v>5</v>
      </c>
      <c r="E12" s="3">
        <f t="shared" si="1"/>
        <v>0.02519230769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1">
        <v>102.0</v>
      </c>
      <c r="B13" s="4">
        <v>230.0</v>
      </c>
      <c r="C13" s="4">
        <v>49.0</v>
      </c>
      <c r="D13" s="4" t="s">
        <v>5</v>
      </c>
      <c r="E13" s="3">
        <f t="shared" si="1"/>
        <v>0.0256102441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1">
        <v>100.0</v>
      </c>
      <c r="B14" s="4">
        <v>225.0</v>
      </c>
      <c r="C14" s="4">
        <v>48.0</v>
      </c>
      <c r="D14" s="4" t="s">
        <v>5</v>
      </c>
      <c r="E14" s="3">
        <f t="shared" si="1"/>
        <v>0.02604166667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1">
        <v>98.0</v>
      </c>
      <c r="B15" s="4">
        <v>220.0</v>
      </c>
      <c r="C15" s="4">
        <v>47.0</v>
      </c>
      <c r="D15" s="4" t="s">
        <v>5</v>
      </c>
      <c r="E15" s="3">
        <f t="shared" si="1"/>
        <v>0.02648719062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1">
        <v>94.0</v>
      </c>
      <c r="B16" s="4">
        <v>210.0</v>
      </c>
      <c r="C16" s="4">
        <v>45.0</v>
      </c>
      <c r="D16" s="4" t="s">
        <v>5</v>
      </c>
      <c r="E16" s="3">
        <f t="shared" si="1"/>
        <v>0.02742316785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1">
        <v>92.0</v>
      </c>
      <c r="B17" s="4">
        <v>205.0</v>
      </c>
      <c r="C17" s="4">
        <v>44.0</v>
      </c>
      <c r="D17" s="4" t="s">
        <v>5</v>
      </c>
      <c r="E17" s="3">
        <f t="shared" si="1"/>
        <v>0.02791501976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1">
        <v>90.0</v>
      </c>
      <c r="B18" s="4">
        <v>200.0</v>
      </c>
      <c r="C18" s="4">
        <v>43.0</v>
      </c>
      <c r="D18" s="4" t="s">
        <v>5</v>
      </c>
      <c r="E18" s="3">
        <f t="shared" si="1"/>
        <v>0.02842377261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1">
        <v>88.0</v>
      </c>
      <c r="B19" s="4">
        <v>195.0</v>
      </c>
      <c r="C19" s="4">
        <v>42.0</v>
      </c>
      <c r="D19" s="4" t="s">
        <v>5</v>
      </c>
      <c r="E19" s="3">
        <f t="shared" si="1"/>
        <v>0.02895021645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1">
        <v>86.0</v>
      </c>
      <c r="B20" s="4">
        <v>190.0</v>
      </c>
      <c r="C20" s="4">
        <v>41.0</v>
      </c>
      <c r="D20" s="4" t="s">
        <v>5</v>
      </c>
      <c r="E20" s="3">
        <f t="shared" si="1"/>
        <v>0.02949517867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1">
        <v>84.0</v>
      </c>
      <c r="B21" s="4">
        <v>185.0</v>
      </c>
      <c r="C21" s="4">
        <v>40.0</v>
      </c>
      <c r="D21" s="4" t="s">
        <v>5</v>
      </c>
      <c r="E21" s="3">
        <f t="shared" si="1"/>
        <v>0.03005952381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1">
        <v>82.0</v>
      </c>
      <c r="B22" s="4">
        <v>180.0</v>
      </c>
      <c r="C22" s="4">
        <v>39.0</v>
      </c>
      <c r="D22" s="4" t="s">
        <v>5</v>
      </c>
      <c r="E22" s="3">
        <f t="shared" si="1"/>
        <v>0.0306441526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1">
        <v>80.0</v>
      </c>
      <c r="B23" s="4">
        <v>175.0</v>
      </c>
      <c r="C23" s="4">
        <v>38.0</v>
      </c>
      <c r="D23" s="4" t="s">
        <v>5</v>
      </c>
      <c r="E23" s="3">
        <f t="shared" si="1"/>
        <v>0.03125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1">
        <v>78.0</v>
      </c>
      <c r="B24" s="4">
        <v>170.0</v>
      </c>
      <c r="C24" s="4">
        <v>37.0</v>
      </c>
      <c r="D24" s="4" t="s">
        <v>5</v>
      </c>
      <c r="E24" s="3">
        <f t="shared" si="1"/>
        <v>0.03187803188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1">
        <v>70.0</v>
      </c>
      <c r="B25" s="4">
        <v>150.0</v>
      </c>
      <c r="C25" s="4">
        <v>33.0</v>
      </c>
      <c r="D25" s="4" t="s">
        <v>5</v>
      </c>
      <c r="E25" s="3">
        <f t="shared" si="1"/>
        <v>0.03463203463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1">
        <v>68.0</v>
      </c>
      <c r="B26" s="4">
        <v>145.0</v>
      </c>
      <c r="C26" s="4">
        <v>32.0</v>
      </c>
      <c r="D26" s="4" t="s">
        <v>5</v>
      </c>
      <c r="E26" s="3">
        <f t="shared" si="1"/>
        <v>0.03538602941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1">
        <v>28.0</v>
      </c>
      <c r="B27" s="4">
        <v>48.0</v>
      </c>
      <c r="C27" s="4">
        <v>20.0</v>
      </c>
      <c r="D27" s="4" t="s">
        <v>5</v>
      </c>
      <c r="E27" s="3">
        <f t="shared" si="1"/>
        <v>0.03571428571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1">
        <v>64.0</v>
      </c>
      <c r="B28" s="4">
        <v>135.0</v>
      </c>
      <c r="C28" s="4">
        <v>30.0</v>
      </c>
      <c r="D28" s="4" t="s">
        <v>5</v>
      </c>
      <c r="E28" s="3">
        <f t="shared" si="1"/>
        <v>0.03697916667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1">
        <v>62.0</v>
      </c>
      <c r="B29" s="4">
        <v>130.0</v>
      </c>
      <c r="C29" s="4">
        <v>29.0</v>
      </c>
      <c r="D29" s="4" t="s">
        <v>5</v>
      </c>
      <c r="E29" s="3">
        <f t="shared" si="1"/>
        <v>0.03781979978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1">
        <v>60.0</v>
      </c>
      <c r="B30" s="4">
        <v>125.0</v>
      </c>
      <c r="C30" s="4">
        <v>28.0</v>
      </c>
      <c r="D30" s="4" t="s">
        <v>5</v>
      </c>
      <c r="E30" s="3">
        <f t="shared" si="1"/>
        <v>0.03869047619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1">
        <v>58.0</v>
      </c>
      <c r="B31" s="4">
        <v>120.0</v>
      </c>
      <c r="C31" s="4">
        <v>27.0</v>
      </c>
      <c r="D31" s="4" t="s">
        <v>5</v>
      </c>
      <c r="E31" s="3">
        <f t="shared" si="1"/>
        <v>0.03959131545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1">
        <v>56.0</v>
      </c>
      <c r="B32" s="4">
        <v>115.0</v>
      </c>
      <c r="C32" s="4">
        <v>26.0</v>
      </c>
      <c r="D32" s="4" t="s">
        <v>5</v>
      </c>
      <c r="E32" s="3">
        <f t="shared" si="1"/>
        <v>0.04052197802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1">
        <v>27.0</v>
      </c>
      <c r="B33" s="4">
        <v>50.0</v>
      </c>
      <c r="C33" s="4">
        <v>21.0</v>
      </c>
      <c r="D33" s="4" t="s">
        <v>5</v>
      </c>
      <c r="E33" s="3">
        <f t="shared" si="1"/>
        <v>0.0405643739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1">
        <v>54.0</v>
      </c>
      <c r="B34" s="4">
        <v>110.0</v>
      </c>
      <c r="C34" s="4">
        <v>25.0</v>
      </c>
      <c r="D34" s="4" t="s">
        <v>5</v>
      </c>
      <c r="E34" s="3">
        <f t="shared" si="1"/>
        <v>0.04148148148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1">
        <v>50.0</v>
      </c>
      <c r="B35" s="4">
        <v>100.0</v>
      </c>
      <c r="C35" s="4">
        <v>23.0</v>
      </c>
      <c r="D35" s="4" t="s">
        <v>5</v>
      </c>
      <c r="E35" s="3">
        <f t="shared" si="1"/>
        <v>0.04347826087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1">
        <v>48.0</v>
      </c>
      <c r="B36" s="4">
        <v>96.0</v>
      </c>
      <c r="C36" s="4">
        <v>22.0</v>
      </c>
      <c r="D36" s="4" t="s">
        <v>5</v>
      </c>
      <c r="E36" s="3">
        <f t="shared" si="1"/>
        <v>0.04545454545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1">
        <v>46.0</v>
      </c>
      <c r="B37" s="4">
        <v>92.0</v>
      </c>
      <c r="C37" s="4">
        <v>21.0</v>
      </c>
      <c r="D37" s="4" t="s">
        <v>5</v>
      </c>
      <c r="E37" s="3">
        <f t="shared" si="1"/>
        <v>0.04761904762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1">
        <v>25.0</v>
      </c>
      <c r="B38" s="4">
        <v>45.0</v>
      </c>
      <c r="C38" s="4">
        <v>16.0</v>
      </c>
      <c r="D38" s="4" t="s">
        <v>5</v>
      </c>
      <c r="E38" s="3">
        <f t="shared" si="1"/>
        <v>0.05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1">
        <v>44.0</v>
      </c>
      <c r="B39" s="4">
        <v>88.0</v>
      </c>
      <c r="C39" s="4">
        <v>20.0</v>
      </c>
      <c r="D39" s="4" t="s">
        <v>5</v>
      </c>
      <c r="E39" s="3">
        <f t="shared" si="1"/>
        <v>0.05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1">
        <v>40.0</v>
      </c>
      <c r="B40" s="4">
        <v>80.0</v>
      </c>
      <c r="C40" s="4">
        <v>18.0</v>
      </c>
      <c r="D40" s="4" t="s">
        <v>5</v>
      </c>
      <c r="E40" s="3">
        <f t="shared" si="1"/>
        <v>0.05555555556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1">
        <v>38.0</v>
      </c>
      <c r="B41" s="4">
        <v>76.0</v>
      </c>
      <c r="C41" s="4">
        <v>17.0</v>
      </c>
      <c r="D41" s="4" t="s">
        <v>5</v>
      </c>
      <c r="E41" s="3">
        <f t="shared" si="1"/>
        <v>0.05882352941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1">
        <v>36.0</v>
      </c>
      <c r="B42" s="4">
        <v>72.0</v>
      </c>
      <c r="C42" s="4">
        <v>16.0</v>
      </c>
      <c r="D42" s="4" t="s">
        <v>5</v>
      </c>
      <c r="E42" s="3">
        <f t="shared" si="1"/>
        <v>0.0625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1">
        <v>34.0</v>
      </c>
      <c r="B43" s="4">
        <v>68.0</v>
      </c>
      <c r="C43" s="4">
        <v>15.0</v>
      </c>
      <c r="D43" s="4" t="s">
        <v>5</v>
      </c>
      <c r="E43" s="3">
        <f t="shared" si="1"/>
        <v>0.06666666667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1">
        <v>32.0</v>
      </c>
      <c r="B44" s="4">
        <v>64.0</v>
      </c>
      <c r="C44" s="4">
        <v>14.0</v>
      </c>
      <c r="D44" s="4" t="s">
        <v>5</v>
      </c>
      <c r="E44" s="3">
        <f t="shared" si="1"/>
        <v>0.07142857143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1">
        <v>30.0</v>
      </c>
      <c r="B45" s="4">
        <v>60.0</v>
      </c>
      <c r="C45" s="4">
        <v>13.0</v>
      </c>
      <c r="D45" s="4" t="s">
        <v>5</v>
      </c>
      <c r="E45" s="3">
        <f t="shared" si="1"/>
        <v>0.07692307692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1">
        <v>28.0</v>
      </c>
      <c r="B46" s="4">
        <v>56.0</v>
      </c>
      <c r="C46" s="4">
        <v>12.0</v>
      </c>
      <c r="D46" s="4" t="s">
        <v>5</v>
      </c>
      <c r="E46" s="3">
        <f t="shared" si="1"/>
        <v>0.08333333333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1">
        <v>26.0</v>
      </c>
      <c r="B47" s="4">
        <v>52.0</v>
      </c>
      <c r="C47" s="4">
        <v>11.0</v>
      </c>
      <c r="D47" s="4" t="s">
        <v>5</v>
      </c>
      <c r="E47" s="3">
        <f t="shared" si="1"/>
        <v>0.09090909091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1">
        <v>24.0</v>
      </c>
      <c r="B48" s="4">
        <v>48.0</v>
      </c>
      <c r="C48" s="4">
        <v>10.0</v>
      </c>
      <c r="D48" s="4" t="s">
        <v>5</v>
      </c>
      <c r="E48" s="3">
        <f t="shared" si="1"/>
        <v>0.1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1">
        <v>15.0</v>
      </c>
      <c r="B49" s="4">
        <v>35.0</v>
      </c>
      <c r="C49" s="4">
        <v>13.0</v>
      </c>
      <c r="D49" s="4" t="s">
        <v>5</v>
      </c>
      <c r="E49" s="3">
        <f t="shared" si="1"/>
        <v>0.1025641026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1">
        <v>22.0</v>
      </c>
      <c r="B50" s="4">
        <v>44.0</v>
      </c>
      <c r="C50" s="4">
        <v>9.0</v>
      </c>
      <c r="D50" s="4" t="s">
        <v>5</v>
      </c>
      <c r="E50" s="3">
        <f t="shared" si="1"/>
        <v>0.1111111111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1">
        <v>20.0</v>
      </c>
      <c r="B51" s="4">
        <v>40.0</v>
      </c>
      <c r="C51" s="4">
        <v>8.0</v>
      </c>
      <c r="D51" s="4" t="s">
        <v>5</v>
      </c>
      <c r="E51" s="3">
        <f t="shared" si="1"/>
        <v>0.125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1">
        <v>18.0</v>
      </c>
      <c r="B52" s="4">
        <v>36.0</v>
      </c>
      <c r="C52" s="4">
        <v>7.0</v>
      </c>
      <c r="D52" s="4" t="s">
        <v>5</v>
      </c>
      <c r="E52" s="3">
        <f t="shared" si="1"/>
        <v>0.1428571429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1">
        <v>16.0</v>
      </c>
      <c r="B53" s="4">
        <v>32.0</v>
      </c>
      <c r="C53" s="4">
        <v>6.0</v>
      </c>
      <c r="D53" s="4" t="s">
        <v>5</v>
      </c>
      <c r="E53" s="3">
        <f t="shared" si="1"/>
        <v>0.1666666667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1">
        <v>14.0</v>
      </c>
      <c r="B54" s="4">
        <v>28.0</v>
      </c>
      <c r="C54" s="4">
        <v>5.0</v>
      </c>
      <c r="D54" s="4" t="s">
        <v>5</v>
      </c>
      <c r="E54" s="3">
        <f t="shared" si="1"/>
        <v>0.2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1">
        <v>12.0</v>
      </c>
      <c r="B55" s="4">
        <v>25.0</v>
      </c>
      <c r="C55" s="4">
        <v>5.0</v>
      </c>
      <c r="D55" s="4" t="s">
        <v>5</v>
      </c>
      <c r="E55" s="3">
        <f t="shared" si="1"/>
        <v>0.2166666667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1">
        <v>11.0</v>
      </c>
      <c r="B56" s="4">
        <v>30.0</v>
      </c>
      <c r="C56" s="4">
        <v>7.0</v>
      </c>
      <c r="D56" s="4" t="s">
        <v>5</v>
      </c>
      <c r="E56" s="3">
        <f t="shared" si="1"/>
        <v>0.2467532468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1">
        <v>12.0</v>
      </c>
      <c r="B57" s="4">
        <v>24.0</v>
      </c>
      <c r="C57" s="4">
        <v>4.0</v>
      </c>
      <c r="D57" s="4" t="s">
        <v>5</v>
      </c>
      <c r="E57" s="3">
        <f t="shared" si="1"/>
        <v>0.25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1">
        <v>10.0</v>
      </c>
      <c r="B58" s="4">
        <v>20.0</v>
      </c>
      <c r="C58" s="4">
        <v>3.0</v>
      </c>
      <c r="D58" s="4" t="s">
        <v>5</v>
      </c>
      <c r="E58" s="3">
        <f t="shared" si="1"/>
        <v>0.3333333333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1">
        <v>78.0</v>
      </c>
      <c r="B59" s="4">
        <v>80.0</v>
      </c>
      <c r="C59" s="4">
        <v>162.0</v>
      </c>
      <c r="D59" s="4" t="s">
        <v>6</v>
      </c>
      <c r="E59" s="3">
        <f t="shared" si="1"/>
        <v>0.0001582779361</v>
      </c>
      <c r="F59" s="5">
        <f>GEOMEAN(E58:E59)</f>
        <v>0.007263560561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1">
        <v>67.0</v>
      </c>
      <c r="B60" s="4">
        <v>75.0</v>
      </c>
      <c r="C60" s="4">
        <v>119.0</v>
      </c>
      <c r="D60" s="4" t="s">
        <v>6</v>
      </c>
      <c r="E60" s="3">
        <f t="shared" si="1"/>
        <v>0.001003386429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1">
        <v>49.0</v>
      </c>
      <c r="B61" s="4">
        <v>60.0</v>
      </c>
      <c r="C61" s="4">
        <v>89.0</v>
      </c>
      <c r="D61" s="4" t="s">
        <v>6</v>
      </c>
      <c r="E61" s="3">
        <f t="shared" si="1"/>
        <v>0.002522357258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1">
        <v>76.0</v>
      </c>
      <c r="B62" s="4">
        <v>100.0</v>
      </c>
      <c r="C62" s="4">
        <v>125.0</v>
      </c>
      <c r="D62" s="4" t="s">
        <v>6</v>
      </c>
      <c r="E62" s="3">
        <f t="shared" si="1"/>
        <v>0.002526315789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1">
        <v>78.0</v>
      </c>
      <c r="B63" s="4">
        <v>105.0</v>
      </c>
      <c r="C63" s="4">
        <v>130.0</v>
      </c>
      <c r="D63" s="4" t="s">
        <v>6</v>
      </c>
      <c r="E63" s="3">
        <f t="shared" si="1"/>
        <v>0.002662721893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1">
        <v>74.0</v>
      </c>
      <c r="B64" s="4">
        <v>98.0</v>
      </c>
      <c r="C64" s="4">
        <v>120.0</v>
      </c>
      <c r="D64" s="4" t="s">
        <v>6</v>
      </c>
      <c r="E64" s="3">
        <f t="shared" si="1"/>
        <v>0.002702702703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1">
        <v>80.0</v>
      </c>
      <c r="B65" s="4">
        <v>110.0</v>
      </c>
      <c r="C65" s="4">
        <v>135.0</v>
      </c>
      <c r="D65" s="4" t="s">
        <v>6</v>
      </c>
      <c r="E65" s="3">
        <f t="shared" si="1"/>
        <v>0.002777777778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1">
        <v>82.0</v>
      </c>
      <c r="B66" s="4">
        <v>115.0</v>
      </c>
      <c r="C66" s="4">
        <v>140.0</v>
      </c>
      <c r="D66" s="4" t="s">
        <v>6</v>
      </c>
      <c r="E66" s="3">
        <f t="shared" si="1"/>
        <v>0.00287456446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1">
        <v>72.0</v>
      </c>
      <c r="B67" s="4">
        <v>96.0</v>
      </c>
      <c r="C67" s="4">
        <v>115.0</v>
      </c>
      <c r="D67" s="4" t="s">
        <v>6</v>
      </c>
      <c r="E67" s="3">
        <f t="shared" si="1"/>
        <v>0.002898550725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1">
        <v>84.0</v>
      </c>
      <c r="B68" s="4">
        <v>120.0</v>
      </c>
      <c r="C68" s="4">
        <v>145.0</v>
      </c>
      <c r="D68" s="4" t="s">
        <v>6</v>
      </c>
      <c r="E68" s="3">
        <f t="shared" si="1"/>
        <v>0.002955665025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1">
        <v>86.0</v>
      </c>
      <c r="B69" s="4">
        <v>125.0</v>
      </c>
      <c r="C69" s="4">
        <v>150.0</v>
      </c>
      <c r="D69" s="4" t="s">
        <v>6</v>
      </c>
      <c r="E69" s="3">
        <f t="shared" si="1"/>
        <v>0.003023255814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1">
        <v>88.0</v>
      </c>
      <c r="B70" s="4">
        <v>130.0</v>
      </c>
      <c r="C70" s="4">
        <v>155.0</v>
      </c>
      <c r="D70" s="4" t="s">
        <v>6</v>
      </c>
      <c r="E70" s="3">
        <f t="shared" si="1"/>
        <v>0.003079178886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1">
        <v>70.0</v>
      </c>
      <c r="B71" s="4">
        <v>94.0</v>
      </c>
      <c r="C71" s="4">
        <v>110.0</v>
      </c>
      <c r="D71" s="4" t="s">
        <v>6</v>
      </c>
      <c r="E71" s="3">
        <f t="shared" si="1"/>
        <v>0.003116883117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1">
        <v>90.0</v>
      </c>
      <c r="B72" s="4">
        <v>135.0</v>
      </c>
      <c r="C72" s="4">
        <v>160.0</v>
      </c>
      <c r="D72" s="4" t="s">
        <v>6</v>
      </c>
      <c r="E72" s="3">
        <f t="shared" si="1"/>
        <v>0.003125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1">
        <v>92.0</v>
      </c>
      <c r="B73" s="4">
        <v>140.0</v>
      </c>
      <c r="C73" s="4">
        <v>165.0</v>
      </c>
      <c r="D73" s="4" t="s">
        <v>6</v>
      </c>
      <c r="E73" s="3">
        <f t="shared" si="1"/>
        <v>0.003162055336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1">
        <v>94.0</v>
      </c>
      <c r="B74" s="4">
        <v>145.0</v>
      </c>
      <c r="C74" s="4">
        <v>170.0</v>
      </c>
      <c r="D74" s="4" t="s">
        <v>6</v>
      </c>
      <c r="E74" s="3">
        <f t="shared" si="1"/>
        <v>0.003191489362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1">
        <v>96.0</v>
      </c>
      <c r="B75" s="4">
        <v>150.0</v>
      </c>
      <c r="C75" s="4">
        <v>175.0</v>
      </c>
      <c r="D75" s="4" t="s">
        <v>6</v>
      </c>
      <c r="E75" s="3">
        <f t="shared" si="1"/>
        <v>0.003214285714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1">
        <v>98.0</v>
      </c>
      <c r="B76" s="4">
        <v>155.0</v>
      </c>
      <c r="C76" s="4">
        <v>180.0</v>
      </c>
      <c r="D76" s="4" t="s">
        <v>6</v>
      </c>
      <c r="E76" s="3">
        <f t="shared" si="1"/>
        <v>0.003231292517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1">
        <v>100.0</v>
      </c>
      <c r="B77" s="4">
        <v>160.0</v>
      </c>
      <c r="C77" s="4">
        <v>185.0</v>
      </c>
      <c r="D77" s="4" t="s">
        <v>6</v>
      </c>
      <c r="E77" s="3">
        <f t="shared" si="1"/>
        <v>0.003243243243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1">
        <v>68.0</v>
      </c>
      <c r="B78" s="4">
        <v>92.0</v>
      </c>
      <c r="C78" s="4">
        <v>105.0</v>
      </c>
      <c r="D78" s="4" t="s">
        <v>6</v>
      </c>
      <c r="E78" s="3">
        <f t="shared" si="1"/>
        <v>0.003361344538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1">
        <v>66.0</v>
      </c>
      <c r="B79" s="4">
        <v>90.0</v>
      </c>
      <c r="C79" s="4">
        <v>100.0</v>
      </c>
      <c r="D79" s="4" t="s">
        <v>6</v>
      </c>
      <c r="E79" s="3">
        <f t="shared" si="1"/>
        <v>0.003636363636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1">
        <v>64.0</v>
      </c>
      <c r="B80" s="4">
        <v>88.0</v>
      </c>
      <c r="C80" s="4">
        <v>95.0</v>
      </c>
      <c r="D80" s="4" t="s">
        <v>6</v>
      </c>
      <c r="E80" s="3">
        <f t="shared" si="1"/>
        <v>0.003947368421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1">
        <v>60.0</v>
      </c>
      <c r="B81" s="4">
        <v>84.0</v>
      </c>
      <c r="C81" s="4">
        <v>85.0</v>
      </c>
      <c r="D81" s="4" t="s">
        <v>6</v>
      </c>
      <c r="E81" s="3">
        <f t="shared" si="1"/>
        <v>0.004705882353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1">
        <v>58.0</v>
      </c>
      <c r="B82" s="4">
        <v>82.0</v>
      </c>
      <c r="C82" s="4">
        <v>80.0</v>
      </c>
      <c r="D82" s="4" t="s">
        <v>6</v>
      </c>
      <c r="E82" s="3">
        <f t="shared" si="1"/>
        <v>0.005172413793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1">
        <v>40.0</v>
      </c>
      <c r="B83" s="4">
        <v>55.0</v>
      </c>
      <c r="C83" s="4">
        <v>62.0</v>
      </c>
      <c r="D83" s="4" t="s">
        <v>6</v>
      </c>
      <c r="E83" s="3">
        <f t="shared" si="1"/>
        <v>0.006048387097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1">
        <v>55.0</v>
      </c>
      <c r="B84" s="4">
        <v>80.0</v>
      </c>
      <c r="C84" s="4">
        <v>75.0</v>
      </c>
      <c r="D84" s="4" t="s">
        <v>6</v>
      </c>
      <c r="E84" s="3">
        <f t="shared" si="1"/>
        <v>0.006060606061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1">
        <v>53.0</v>
      </c>
      <c r="B85" s="4">
        <v>78.0</v>
      </c>
      <c r="C85" s="4">
        <v>70.0</v>
      </c>
      <c r="D85" s="4" t="s">
        <v>6</v>
      </c>
      <c r="E85" s="3">
        <f t="shared" si="1"/>
        <v>0.006738544474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1">
        <v>50.0</v>
      </c>
      <c r="B86" s="4">
        <v>76.0</v>
      </c>
      <c r="C86" s="4">
        <v>65.0</v>
      </c>
      <c r="D86" s="4" t="s">
        <v>6</v>
      </c>
      <c r="E86" s="3">
        <f t="shared" si="1"/>
        <v>0.008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1">
        <v>47.0</v>
      </c>
      <c r="B87" s="4">
        <v>74.0</v>
      </c>
      <c r="C87" s="4">
        <v>60.0</v>
      </c>
      <c r="D87" s="4" t="s">
        <v>6</v>
      </c>
      <c r="E87" s="3">
        <f t="shared" si="1"/>
        <v>0.009574468085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1">
        <v>45.0</v>
      </c>
      <c r="B88" s="4">
        <v>72.0</v>
      </c>
      <c r="C88" s="4">
        <v>55.0</v>
      </c>
      <c r="D88" s="4" t="s">
        <v>6</v>
      </c>
      <c r="E88" s="3">
        <f t="shared" si="1"/>
        <v>0.01090909091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1">
        <v>42.0</v>
      </c>
      <c r="B89" s="4">
        <v>70.0</v>
      </c>
      <c r="C89" s="4">
        <v>50.0</v>
      </c>
      <c r="D89" s="4" t="s">
        <v>6</v>
      </c>
      <c r="E89" s="3">
        <f t="shared" si="1"/>
        <v>0.01333333333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1">
        <v>39.0</v>
      </c>
      <c r="B90" s="4">
        <v>68.0</v>
      </c>
      <c r="C90" s="4">
        <v>45.0</v>
      </c>
      <c r="D90" s="4" t="s">
        <v>6</v>
      </c>
      <c r="E90" s="3">
        <f t="shared" si="1"/>
        <v>0.01652421652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1">
        <v>37.0</v>
      </c>
      <c r="B91" s="4">
        <v>65.0</v>
      </c>
      <c r="C91" s="4">
        <v>40.0</v>
      </c>
      <c r="D91" s="4" t="s">
        <v>6</v>
      </c>
      <c r="E91" s="3">
        <f t="shared" si="1"/>
        <v>0.01891891892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1">
        <v>96.0</v>
      </c>
      <c r="B92" s="4">
        <v>215.0</v>
      </c>
      <c r="C92" s="4">
        <v>46.0</v>
      </c>
      <c r="D92" s="4" t="s">
        <v>6</v>
      </c>
      <c r="E92" s="3">
        <f t="shared" si="1"/>
        <v>0.02694746377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1">
        <v>30.0</v>
      </c>
      <c r="B93" s="4">
        <v>52.0</v>
      </c>
      <c r="C93" s="4">
        <v>25.0</v>
      </c>
      <c r="D93" s="4" t="s">
        <v>6</v>
      </c>
      <c r="E93" s="3">
        <f t="shared" si="1"/>
        <v>0.02933333333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1">
        <v>76.0</v>
      </c>
      <c r="B94" s="4">
        <v>165.0</v>
      </c>
      <c r="C94" s="4">
        <v>36.0</v>
      </c>
      <c r="D94" s="4" t="s">
        <v>6</v>
      </c>
      <c r="E94" s="3">
        <f t="shared" si="1"/>
        <v>0.03252923977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1">
        <v>74.0</v>
      </c>
      <c r="B95" s="4">
        <v>160.0</v>
      </c>
      <c r="C95" s="4">
        <v>35.0</v>
      </c>
      <c r="D95" s="4" t="s">
        <v>6</v>
      </c>
      <c r="E95" s="3">
        <f t="shared" si="1"/>
        <v>0.0332046332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1">
        <v>72.0</v>
      </c>
      <c r="B96" s="4">
        <v>155.0</v>
      </c>
      <c r="C96" s="4">
        <v>34.0</v>
      </c>
      <c r="D96" s="4" t="s">
        <v>6</v>
      </c>
      <c r="E96" s="3">
        <f t="shared" si="1"/>
        <v>0.03390522876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1">
        <v>66.0</v>
      </c>
      <c r="B97" s="4">
        <v>140.0</v>
      </c>
      <c r="C97" s="4">
        <v>31.0</v>
      </c>
      <c r="D97" s="4" t="s">
        <v>6</v>
      </c>
      <c r="E97" s="3">
        <f t="shared" si="1"/>
        <v>0.03616813294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1">
        <v>52.0</v>
      </c>
      <c r="B98" s="4">
        <v>105.0</v>
      </c>
      <c r="C98" s="4">
        <v>24.0</v>
      </c>
      <c r="D98" s="4" t="s">
        <v>6</v>
      </c>
      <c r="E98" s="3">
        <f t="shared" si="1"/>
        <v>0.04246794872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1">
        <v>42.0</v>
      </c>
      <c r="B99" s="4">
        <v>84.0</v>
      </c>
      <c r="C99" s="4">
        <v>19.0</v>
      </c>
      <c r="D99" s="4" t="s">
        <v>6</v>
      </c>
      <c r="E99" s="3">
        <f t="shared" si="1"/>
        <v>0.05263157895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1">
        <v>20.0</v>
      </c>
      <c r="B100" s="4">
        <v>38.0</v>
      </c>
      <c r="C100" s="4">
        <v>12.0</v>
      </c>
      <c r="D100" s="4" t="s">
        <v>6</v>
      </c>
      <c r="E100" s="3">
        <f t="shared" si="1"/>
        <v>0.075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1">
        <v>18.0</v>
      </c>
      <c r="B101" s="4">
        <v>32.0</v>
      </c>
      <c r="C101" s="4">
        <v>9.0</v>
      </c>
      <c r="D101" s="4" t="s">
        <v>6</v>
      </c>
      <c r="E101" s="3">
        <f t="shared" si="1"/>
        <v>0.08641975309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autoFilter ref="$A$1:$W$1000">
    <sortState ref="A1:W1000">
      <sortCondition ref="D1:D1000"/>
      <sortCondition ref="E1:E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4.63"/>
    <col customWidth="1" min="4" max="4" width="17.0"/>
    <col customWidth="1" min="5" max="23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>
        <v>78.0</v>
      </c>
      <c r="B2" s="4">
        <v>170.0</v>
      </c>
      <c r="C2" s="4">
        <v>37.0</v>
      </c>
      <c r="D2" s="4" t="s">
        <v>5</v>
      </c>
      <c r="E2" s="3">
        <f t="shared" ref="E2:E101" si="1">((B2/A2)-1)/C2</f>
        <v>0.03187803188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4">
        <v>114.0</v>
      </c>
      <c r="B3" s="4">
        <v>260.0</v>
      </c>
      <c r="C3" s="4">
        <v>55.0</v>
      </c>
      <c r="D3" s="4" t="s">
        <v>5</v>
      </c>
      <c r="E3" s="3">
        <f t="shared" si="1"/>
        <v>0.02328548644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4">
        <v>15.0</v>
      </c>
      <c r="B4" s="4">
        <v>35.0</v>
      </c>
      <c r="C4" s="4">
        <v>13.0</v>
      </c>
      <c r="D4" s="4" t="s">
        <v>5</v>
      </c>
      <c r="E4" s="3">
        <f t="shared" si="1"/>
        <v>0.1025641026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4">
        <v>26.0</v>
      </c>
      <c r="B5" s="4">
        <v>52.0</v>
      </c>
      <c r="C5" s="4">
        <v>11.0</v>
      </c>
      <c r="D5" s="4" t="s">
        <v>5</v>
      </c>
      <c r="E5" s="3">
        <f t="shared" si="1"/>
        <v>0.09090909091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4">
        <v>40.0</v>
      </c>
      <c r="B6" s="4">
        <v>80.0</v>
      </c>
      <c r="C6" s="4">
        <v>18.0</v>
      </c>
      <c r="D6" s="4" t="s">
        <v>5</v>
      </c>
      <c r="E6" s="3">
        <f t="shared" si="1"/>
        <v>0.05555555556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4">
        <v>62.0</v>
      </c>
      <c r="B7" s="4">
        <v>130.0</v>
      </c>
      <c r="C7" s="4">
        <v>29.0</v>
      </c>
      <c r="D7" s="4" t="s">
        <v>5</v>
      </c>
      <c r="E7" s="3">
        <f t="shared" si="1"/>
        <v>0.03781979978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4">
        <v>92.0</v>
      </c>
      <c r="B8" s="4">
        <v>205.0</v>
      </c>
      <c r="C8" s="4">
        <v>44.0</v>
      </c>
      <c r="D8" s="4" t="s">
        <v>5</v>
      </c>
      <c r="E8" s="3">
        <f t="shared" si="1"/>
        <v>0.02791501976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4">
        <v>82.0</v>
      </c>
      <c r="B9" s="4">
        <v>180.0</v>
      </c>
      <c r="C9" s="4">
        <v>39.0</v>
      </c>
      <c r="D9" s="4" t="s">
        <v>5</v>
      </c>
      <c r="E9" s="3">
        <f t="shared" si="1"/>
        <v>0.0306441526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4">
        <v>22.0</v>
      </c>
      <c r="B10" s="4">
        <v>44.0</v>
      </c>
      <c r="C10" s="4">
        <v>9.0</v>
      </c>
      <c r="D10" s="4" t="s">
        <v>5</v>
      </c>
      <c r="E10" s="3">
        <f t="shared" si="1"/>
        <v>0.1111111111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4">
        <v>88.0</v>
      </c>
      <c r="B11" s="4">
        <v>195.0</v>
      </c>
      <c r="C11" s="4">
        <v>42.0</v>
      </c>
      <c r="D11" s="4" t="s">
        <v>5</v>
      </c>
      <c r="E11" s="3">
        <f t="shared" si="1"/>
        <v>0.02895021645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4">
        <v>90.0</v>
      </c>
      <c r="B12" s="4">
        <v>200.0</v>
      </c>
      <c r="C12" s="4">
        <v>43.0</v>
      </c>
      <c r="D12" s="4" t="s">
        <v>5</v>
      </c>
      <c r="E12" s="3">
        <f t="shared" si="1"/>
        <v>0.02842377261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4">
        <v>112.0</v>
      </c>
      <c r="B13" s="4">
        <v>255.0</v>
      </c>
      <c r="C13" s="4">
        <v>54.0</v>
      </c>
      <c r="D13" s="4" t="s">
        <v>5</v>
      </c>
      <c r="E13" s="3">
        <f t="shared" si="1"/>
        <v>0.02364417989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4">
        <v>58.0</v>
      </c>
      <c r="B14" s="4">
        <v>120.0</v>
      </c>
      <c r="C14" s="4">
        <v>27.0</v>
      </c>
      <c r="D14" s="4" t="s">
        <v>5</v>
      </c>
      <c r="E14" s="3">
        <f t="shared" si="1"/>
        <v>0.03959131545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4">
        <v>18.0</v>
      </c>
      <c r="B15" s="4">
        <v>36.0</v>
      </c>
      <c r="C15" s="4">
        <v>7.0</v>
      </c>
      <c r="D15" s="4" t="s">
        <v>5</v>
      </c>
      <c r="E15" s="3">
        <f t="shared" si="1"/>
        <v>0.1428571429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4">
        <v>10.0</v>
      </c>
      <c r="B16" s="4">
        <v>20.0</v>
      </c>
      <c r="C16" s="4">
        <v>3.0</v>
      </c>
      <c r="D16" s="4" t="s">
        <v>5</v>
      </c>
      <c r="E16" s="3">
        <f t="shared" si="1"/>
        <v>0.3333333333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4">
        <v>84.0</v>
      </c>
      <c r="B17" s="4">
        <v>185.0</v>
      </c>
      <c r="C17" s="4">
        <v>40.0</v>
      </c>
      <c r="D17" s="4" t="s">
        <v>5</v>
      </c>
      <c r="E17" s="3">
        <f t="shared" si="1"/>
        <v>0.03005952381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4">
        <v>106.0</v>
      </c>
      <c r="B18" s="4">
        <v>240.0</v>
      </c>
      <c r="C18" s="4">
        <v>51.0</v>
      </c>
      <c r="D18" s="4" t="s">
        <v>5</v>
      </c>
      <c r="E18" s="3">
        <f t="shared" si="1"/>
        <v>0.0247872734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4">
        <v>76.0</v>
      </c>
      <c r="B19" s="4">
        <v>165.0</v>
      </c>
      <c r="C19" s="4">
        <v>36.0</v>
      </c>
      <c r="D19" s="4" t="s">
        <v>5</v>
      </c>
      <c r="E19" s="3">
        <f t="shared" si="1"/>
        <v>0.03252923977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4">
        <v>11.0</v>
      </c>
      <c r="B20" s="4">
        <v>30.0</v>
      </c>
      <c r="C20" s="4">
        <v>7.0</v>
      </c>
      <c r="D20" s="4" t="s">
        <v>5</v>
      </c>
      <c r="E20" s="3">
        <f t="shared" si="1"/>
        <v>0.2467532468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4">
        <v>52.0</v>
      </c>
      <c r="B21" s="4">
        <v>105.0</v>
      </c>
      <c r="C21" s="4">
        <v>24.0</v>
      </c>
      <c r="D21" s="4" t="s">
        <v>5</v>
      </c>
      <c r="E21" s="3">
        <f t="shared" si="1"/>
        <v>0.04246794872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4">
        <v>16.0</v>
      </c>
      <c r="B22" s="4">
        <v>32.0</v>
      </c>
      <c r="C22" s="4">
        <v>6.0</v>
      </c>
      <c r="D22" s="4" t="s">
        <v>5</v>
      </c>
      <c r="E22" s="3">
        <f t="shared" si="1"/>
        <v>0.1666666667</v>
      </c>
      <c r="F22" s="5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4">
        <v>20.0</v>
      </c>
      <c r="B23" s="4">
        <v>38.0</v>
      </c>
      <c r="C23" s="4">
        <v>12.0</v>
      </c>
      <c r="D23" s="4" t="s">
        <v>5</v>
      </c>
      <c r="E23" s="3">
        <f t="shared" si="1"/>
        <v>0.075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4">
        <v>32.0</v>
      </c>
      <c r="B24" s="4">
        <v>64.0</v>
      </c>
      <c r="C24" s="4">
        <v>14.0</v>
      </c>
      <c r="D24" s="4" t="s">
        <v>5</v>
      </c>
      <c r="E24" s="3">
        <f t="shared" si="1"/>
        <v>0.07142857143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4">
        <v>28.0</v>
      </c>
      <c r="B25" s="4">
        <v>56.0</v>
      </c>
      <c r="C25" s="4">
        <v>12.0</v>
      </c>
      <c r="D25" s="4" t="s">
        <v>5</v>
      </c>
      <c r="E25" s="3">
        <f t="shared" si="1"/>
        <v>0.08333333333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4">
        <v>96.0</v>
      </c>
      <c r="B26" s="4">
        <v>215.0</v>
      </c>
      <c r="C26" s="4">
        <v>46.0</v>
      </c>
      <c r="D26" s="4" t="s">
        <v>5</v>
      </c>
      <c r="E26" s="3">
        <f t="shared" si="1"/>
        <v>0.02694746377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4">
        <v>42.0</v>
      </c>
      <c r="B27" s="4">
        <v>84.0</v>
      </c>
      <c r="C27" s="4">
        <v>19.0</v>
      </c>
      <c r="D27" s="4" t="s">
        <v>5</v>
      </c>
      <c r="E27" s="3">
        <f t="shared" si="1"/>
        <v>0.05263157895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4">
        <v>14.0</v>
      </c>
      <c r="B28" s="4">
        <v>28.0</v>
      </c>
      <c r="C28" s="4">
        <v>5.0</v>
      </c>
      <c r="D28" s="4" t="s">
        <v>5</v>
      </c>
      <c r="E28" s="3">
        <f t="shared" si="1"/>
        <v>0.2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4">
        <v>12.0</v>
      </c>
      <c r="B29" s="4">
        <v>24.0</v>
      </c>
      <c r="C29" s="4">
        <v>4.0</v>
      </c>
      <c r="D29" s="4" t="s">
        <v>5</v>
      </c>
      <c r="E29" s="3">
        <f t="shared" si="1"/>
        <v>0.25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4">
        <v>108.0</v>
      </c>
      <c r="B30" s="4">
        <v>245.0</v>
      </c>
      <c r="C30" s="4">
        <v>52.0</v>
      </c>
      <c r="D30" s="4" t="s">
        <v>5</v>
      </c>
      <c r="E30" s="3">
        <f t="shared" si="1"/>
        <v>0.02439458689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4">
        <v>30.0</v>
      </c>
      <c r="B31" s="4">
        <v>60.0</v>
      </c>
      <c r="C31" s="4">
        <v>13.0</v>
      </c>
      <c r="D31" s="4" t="s">
        <v>5</v>
      </c>
      <c r="E31" s="3">
        <f t="shared" si="1"/>
        <v>0.07692307692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4">
        <v>72.0</v>
      </c>
      <c r="B32" s="4">
        <v>155.0</v>
      </c>
      <c r="C32" s="4">
        <v>34.0</v>
      </c>
      <c r="D32" s="4" t="s">
        <v>5</v>
      </c>
      <c r="E32" s="3">
        <f t="shared" si="1"/>
        <v>0.03390522876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4">
        <v>18.0</v>
      </c>
      <c r="B33" s="4">
        <v>32.0</v>
      </c>
      <c r="C33" s="4">
        <v>9.0</v>
      </c>
      <c r="D33" s="4" t="s">
        <v>5</v>
      </c>
      <c r="E33" s="3">
        <f t="shared" si="1"/>
        <v>0.08641975309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4">
        <v>98.0</v>
      </c>
      <c r="B34" s="4">
        <v>220.0</v>
      </c>
      <c r="C34" s="4">
        <v>47.0</v>
      </c>
      <c r="D34" s="4" t="s">
        <v>5</v>
      </c>
      <c r="E34" s="3">
        <f t="shared" si="1"/>
        <v>0.02648719062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4">
        <v>24.0</v>
      </c>
      <c r="B35" s="4">
        <v>48.0</v>
      </c>
      <c r="C35" s="4">
        <v>10.0</v>
      </c>
      <c r="D35" s="4" t="s">
        <v>5</v>
      </c>
      <c r="E35" s="3">
        <f t="shared" si="1"/>
        <v>0.1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4">
        <v>60.0</v>
      </c>
      <c r="B36" s="4">
        <v>125.0</v>
      </c>
      <c r="C36" s="4">
        <v>28.0</v>
      </c>
      <c r="D36" s="4" t="s">
        <v>5</v>
      </c>
      <c r="E36" s="3">
        <f t="shared" si="1"/>
        <v>0.03869047619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4">
        <v>12.0</v>
      </c>
      <c r="B37" s="4">
        <v>25.0</v>
      </c>
      <c r="C37" s="4">
        <v>5.0</v>
      </c>
      <c r="D37" s="4" t="s">
        <v>5</v>
      </c>
      <c r="E37" s="3">
        <f t="shared" si="1"/>
        <v>0.2166666667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4">
        <v>86.0</v>
      </c>
      <c r="B38" s="4">
        <v>190.0</v>
      </c>
      <c r="C38" s="4">
        <v>41.0</v>
      </c>
      <c r="D38" s="4" t="s">
        <v>5</v>
      </c>
      <c r="E38" s="3">
        <f t="shared" si="1"/>
        <v>0.02949517867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4">
        <v>102.0</v>
      </c>
      <c r="B39" s="4">
        <v>230.0</v>
      </c>
      <c r="C39" s="4">
        <v>49.0</v>
      </c>
      <c r="D39" s="4" t="s">
        <v>5</v>
      </c>
      <c r="E39" s="3">
        <f t="shared" si="1"/>
        <v>0.0256102441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4">
        <v>110.0</v>
      </c>
      <c r="B40" s="4">
        <v>250.0</v>
      </c>
      <c r="C40" s="4">
        <v>53.0</v>
      </c>
      <c r="D40" s="4" t="s">
        <v>5</v>
      </c>
      <c r="E40" s="3">
        <f t="shared" si="1"/>
        <v>0.02401372213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4">
        <v>74.0</v>
      </c>
      <c r="B41" s="4">
        <v>160.0</v>
      </c>
      <c r="C41" s="4">
        <v>35.0</v>
      </c>
      <c r="D41" s="4" t="s">
        <v>5</v>
      </c>
      <c r="E41" s="3">
        <f t="shared" si="1"/>
        <v>0.0332046332</v>
      </c>
      <c r="F41" s="5">
        <f>average(E41:E42)</f>
        <v>0.02205686206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4">
        <v>45.0</v>
      </c>
      <c r="B42" s="4">
        <v>72.0</v>
      </c>
      <c r="C42" s="4">
        <v>55.0</v>
      </c>
      <c r="D42" s="4" t="s">
        <v>6</v>
      </c>
      <c r="E42" s="3">
        <f t="shared" si="1"/>
        <v>0.01090909091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4">
        <v>100.0</v>
      </c>
      <c r="B43" s="4">
        <v>225.0</v>
      </c>
      <c r="C43" s="4">
        <v>48.0</v>
      </c>
      <c r="D43" s="4" t="s">
        <v>6</v>
      </c>
      <c r="E43" s="3">
        <f t="shared" si="1"/>
        <v>0.02604166667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4">
        <v>92.0</v>
      </c>
      <c r="B44" s="4">
        <v>140.0</v>
      </c>
      <c r="C44" s="4">
        <v>165.0</v>
      </c>
      <c r="D44" s="4" t="s">
        <v>6</v>
      </c>
      <c r="E44" s="3">
        <f t="shared" si="1"/>
        <v>0.003162055336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4">
        <v>70.0</v>
      </c>
      <c r="B45" s="4">
        <v>94.0</v>
      </c>
      <c r="C45" s="4">
        <v>110.0</v>
      </c>
      <c r="D45" s="4" t="s">
        <v>6</v>
      </c>
      <c r="E45" s="3">
        <f t="shared" si="1"/>
        <v>0.003116883117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4">
        <v>49.0</v>
      </c>
      <c r="B46" s="4">
        <v>60.0</v>
      </c>
      <c r="C46" s="4">
        <v>89.0</v>
      </c>
      <c r="D46" s="4" t="s">
        <v>6</v>
      </c>
      <c r="E46" s="3">
        <f t="shared" si="1"/>
        <v>0.002522357258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4">
        <v>66.0</v>
      </c>
      <c r="B47" s="4">
        <v>90.0</v>
      </c>
      <c r="C47" s="4">
        <v>100.0</v>
      </c>
      <c r="D47" s="4" t="s">
        <v>6</v>
      </c>
      <c r="E47" s="3">
        <f t="shared" si="1"/>
        <v>0.003636363636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4">
        <v>60.0</v>
      </c>
      <c r="B48" s="4">
        <v>84.0</v>
      </c>
      <c r="C48" s="4">
        <v>85.0</v>
      </c>
      <c r="D48" s="4" t="s">
        <v>6</v>
      </c>
      <c r="E48" s="3">
        <f t="shared" si="1"/>
        <v>0.004705882353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4">
        <v>50.0</v>
      </c>
      <c r="B49" s="4">
        <v>100.0</v>
      </c>
      <c r="C49" s="4">
        <v>23.0</v>
      </c>
      <c r="D49" s="4" t="s">
        <v>6</v>
      </c>
      <c r="E49" s="3">
        <f t="shared" si="1"/>
        <v>0.04347826087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4">
        <v>27.0</v>
      </c>
      <c r="B50" s="4">
        <v>50.0</v>
      </c>
      <c r="C50" s="4">
        <v>21.0</v>
      </c>
      <c r="D50" s="4" t="s">
        <v>6</v>
      </c>
      <c r="E50" s="3">
        <f t="shared" si="1"/>
        <v>0.0405643739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4">
        <v>118.0</v>
      </c>
      <c r="B51" s="4">
        <v>270.0</v>
      </c>
      <c r="C51" s="4">
        <v>57.0</v>
      </c>
      <c r="D51" s="4" t="s">
        <v>6</v>
      </c>
      <c r="E51" s="3">
        <f t="shared" si="1"/>
        <v>0.02259887006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4">
        <v>44.0</v>
      </c>
      <c r="B52" s="4">
        <v>88.0</v>
      </c>
      <c r="C52" s="4">
        <v>20.0</v>
      </c>
      <c r="D52" s="4" t="s">
        <v>6</v>
      </c>
      <c r="E52" s="3">
        <f t="shared" si="1"/>
        <v>0.05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4">
        <v>90.0</v>
      </c>
      <c r="B53" s="4">
        <v>135.0</v>
      </c>
      <c r="C53" s="4">
        <v>160.0</v>
      </c>
      <c r="D53" s="4" t="s">
        <v>6</v>
      </c>
      <c r="E53" s="3">
        <f t="shared" si="1"/>
        <v>0.003125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4">
        <v>55.0</v>
      </c>
      <c r="B54" s="4">
        <v>80.0</v>
      </c>
      <c r="C54" s="4">
        <v>75.0</v>
      </c>
      <c r="D54" s="4" t="s">
        <v>6</v>
      </c>
      <c r="E54" s="3">
        <f t="shared" si="1"/>
        <v>0.006060606061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4">
        <v>34.0</v>
      </c>
      <c r="B55" s="4">
        <v>68.0</v>
      </c>
      <c r="C55" s="4">
        <v>15.0</v>
      </c>
      <c r="D55" s="4" t="s">
        <v>6</v>
      </c>
      <c r="E55" s="3">
        <f t="shared" si="1"/>
        <v>0.06666666667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4">
        <v>53.0</v>
      </c>
      <c r="B56" s="4">
        <v>78.0</v>
      </c>
      <c r="C56" s="4">
        <v>70.0</v>
      </c>
      <c r="D56" s="4" t="s">
        <v>6</v>
      </c>
      <c r="E56" s="3">
        <f t="shared" si="1"/>
        <v>0.006738544474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4">
        <v>86.0</v>
      </c>
      <c r="B57" s="4">
        <v>125.0</v>
      </c>
      <c r="C57" s="4">
        <v>150.0</v>
      </c>
      <c r="D57" s="4" t="s">
        <v>6</v>
      </c>
      <c r="E57" s="3">
        <f t="shared" si="1"/>
        <v>0.003023255814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4">
        <v>28.0</v>
      </c>
      <c r="B58" s="4">
        <v>48.0</v>
      </c>
      <c r="C58" s="4">
        <v>20.0</v>
      </c>
      <c r="D58" s="4" t="s">
        <v>6</v>
      </c>
      <c r="E58" s="3">
        <f t="shared" si="1"/>
        <v>0.03571428571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4">
        <v>42.0</v>
      </c>
      <c r="B59" s="4">
        <v>70.0</v>
      </c>
      <c r="C59" s="4">
        <v>50.0</v>
      </c>
      <c r="D59" s="4" t="s">
        <v>6</v>
      </c>
      <c r="E59" s="3">
        <f t="shared" si="1"/>
        <v>0.01333333333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4">
        <v>30.0</v>
      </c>
      <c r="B60" s="4">
        <v>52.0</v>
      </c>
      <c r="C60" s="4">
        <v>25.0</v>
      </c>
      <c r="D60" s="4" t="s">
        <v>6</v>
      </c>
      <c r="E60" s="3">
        <f t="shared" si="1"/>
        <v>0.02933333333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4">
        <v>20.0</v>
      </c>
      <c r="B61" s="4">
        <v>40.0</v>
      </c>
      <c r="C61" s="4">
        <v>8.0</v>
      </c>
      <c r="D61" s="4" t="s">
        <v>6</v>
      </c>
      <c r="E61" s="3">
        <f t="shared" si="1"/>
        <v>0.125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4">
        <v>104.0</v>
      </c>
      <c r="B62" s="4">
        <v>235.0</v>
      </c>
      <c r="C62" s="4">
        <v>50.0</v>
      </c>
      <c r="D62" s="4" t="s">
        <v>6</v>
      </c>
      <c r="E62" s="3">
        <f t="shared" si="1"/>
        <v>0.02519230769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4">
        <v>84.0</v>
      </c>
      <c r="B63" s="4">
        <v>120.0</v>
      </c>
      <c r="C63" s="4">
        <v>145.0</v>
      </c>
      <c r="D63" s="4" t="s">
        <v>6</v>
      </c>
      <c r="E63" s="3">
        <f t="shared" si="1"/>
        <v>0.002955665025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4">
        <v>78.0</v>
      </c>
      <c r="B64" s="4">
        <v>105.0</v>
      </c>
      <c r="C64" s="4">
        <v>130.0</v>
      </c>
      <c r="D64" s="4" t="s">
        <v>6</v>
      </c>
      <c r="E64" s="3">
        <f t="shared" si="1"/>
        <v>0.002662721893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4">
        <v>74.0</v>
      </c>
      <c r="B65" s="4">
        <v>98.0</v>
      </c>
      <c r="C65" s="4">
        <v>120.0</v>
      </c>
      <c r="D65" s="4" t="s">
        <v>6</v>
      </c>
      <c r="E65" s="3">
        <f t="shared" si="1"/>
        <v>0.002702702703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4">
        <v>70.0</v>
      </c>
      <c r="B66" s="4">
        <v>150.0</v>
      </c>
      <c r="C66" s="4">
        <v>33.0</v>
      </c>
      <c r="D66" s="4" t="s">
        <v>6</v>
      </c>
      <c r="E66" s="3">
        <f t="shared" si="1"/>
        <v>0.03463203463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4">
        <v>64.0</v>
      </c>
      <c r="B67" s="4">
        <v>135.0</v>
      </c>
      <c r="C67" s="4">
        <v>30.0</v>
      </c>
      <c r="D67" s="4" t="s">
        <v>6</v>
      </c>
      <c r="E67" s="3">
        <f t="shared" si="1"/>
        <v>0.03697916667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4">
        <v>78.0</v>
      </c>
      <c r="B68" s="4">
        <v>80.0</v>
      </c>
      <c r="C68" s="4">
        <v>162.0</v>
      </c>
      <c r="D68" s="4" t="s">
        <v>6</v>
      </c>
      <c r="E68" s="3">
        <f t="shared" si="1"/>
        <v>0.0001582779361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4">
        <v>80.0</v>
      </c>
      <c r="B69" s="4">
        <v>110.0</v>
      </c>
      <c r="C69" s="4">
        <v>135.0</v>
      </c>
      <c r="D69" s="4" t="s">
        <v>6</v>
      </c>
      <c r="E69" s="3">
        <f t="shared" si="1"/>
        <v>0.002777777778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4">
        <v>36.0</v>
      </c>
      <c r="B70" s="4">
        <v>72.0</v>
      </c>
      <c r="C70" s="4">
        <v>16.0</v>
      </c>
      <c r="D70" s="4" t="s">
        <v>6</v>
      </c>
      <c r="E70" s="3">
        <f t="shared" si="1"/>
        <v>0.0625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4">
        <v>80.0</v>
      </c>
      <c r="B71" s="4">
        <v>175.0</v>
      </c>
      <c r="C71" s="4">
        <v>38.0</v>
      </c>
      <c r="D71" s="4" t="s">
        <v>6</v>
      </c>
      <c r="E71" s="3">
        <f t="shared" si="1"/>
        <v>0.03125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4">
        <v>67.0</v>
      </c>
      <c r="B72" s="4">
        <v>75.0</v>
      </c>
      <c r="C72" s="4">
        <v>119.0</v>
      </c>
      <c r="D72" s="4" t="s">
        <v>6</v>
      </c>
      <c r="E72" s="3">
        <f t="shared" si="1"/>
        <v>0.001003386429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4">
        <v>40.0</v>
      </c>
      <c r="B73" s="4">
        <v>55.0</v>
      </c>
      <c r="C73" s="4">
        <v>62.0</v>
      </c>
      <c r="D73" s="4" t="s">
        <v>6</v>
      </c>
      <c r="E73" s="3">
        <f t="shared" si="1"/>
        <v>0.006048387097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4">
        <v>33.0</v>
      </c>
      <c r="B74" s="4">
        <v>55.0</v>
      </c>
      <c r="C74" s="4">
        <v>30.0</v>
      </c>
      <c r="D74" s="4" t="s">
        <v>6</v>
      </c>
      <c r="E74" s="3">
        <f t="shared" si="1"/>
        <v>0.02222222222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4">
        <v>96.0</v>
      </c>
      <c r="B75" s="4">
        <v>150.0</v>
      </c>
      <c r="C75" s="4">
        <v>175.0</v>
      </c>
      <c r="D75" s="4" t="s">
        <v>6</v>
      </c>
      <c r="E75" s="3">
        <f t="shared" si="1"/>
        <v>0.003214285714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4">
        <v>100.0</v>
      </c>
      <c r="B76" s="4">
        <v>160.0</v>
      </c>
      <c r="C76" s="4">
        <v>185.0</v>
      </c>
      <c r="D76" s="4" t="s">
        <v>6</v>
      </c>
      <c r="E76" s="3">
        <f t="shared" si="1"/>
        <v>0.003243243243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4">
        <v>37.0</v>
      </c>
      <c r="B77" s="4">
        <v>65.0</v>
      </c>
      <c r="C77" s="4">
        <v>40.0</v>
      </c>
      <c r="D77" s="4" t="s">
        <v>6</v>
      </c>
      <c r="E77" s="3">
        <f t="shared" si="1"/>
        <v>0.01891891892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4">
        <v>39.0</v>
      </c>
      <c r="B78" s="4">
        <v>68.0</v>
      </c>
      <c r="C78" s="4">
        <v>45.0</v>
      </c>
      <c r="D78" s="4" t="s">
        <v>6</v>
      </c>
      <c r="E78" s="3">
        <f t="shared" si="1"/>
        <v>0.01652421652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4">
        <v>94.0</v>
      </c>
      <c r="B79" s="4">
        <v>210.0</v>
      </c>
      <c r="C79" s="4">
        <v>45.0</v>
      </c>
      <c r="D79" s="4" t="s">
        <v>6</v>
      </c>
      <c r="E79" s="3">
        <f t="shared" si="1"/>
        <v>0.02742316785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4">
        <v>50.0</v>
      </c>
      <c r="B80" s="4">
        <v>76.0</v>
      </c>
      <c r="C80" s="4">
        <v>65.0</v>
      </c>
      <c r="D80" s="4" t="s">
        <v>6</v>
      </c>
      <c r="E80" s="3">
        <f t="shared" si="1"/>
        <v>0.008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4">
        <v>88.0</v>
      </c>
      <c r="B81" s="4">
        <v>130.0</v>
      </c>
      <c r="C81" s="4">
        <v>155.0</v>
      </c>
      <c r="D81" s="4" t="s">
        <v>6</v>
      </c>
      <c r="E81" s="3">
        <f t="shared" si="1"/>
        <v>0.003079178886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4">
        <v>62.0</v>
      </c>
      <c r="B82" s="4">
        <v>86.0</v>
      </c>
      <c r="C82" s="4">
        <v>90.0</v>
      </c>
      <c r="D82" s="4" t="s">
        <v>6</v>
      </c>
      <c r="E82" s="3">
        <f t="shared" si="1"/>
        <v>0.004301075269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4">
        <v>68.0</v>
      </c>
      <c r="B83" s="4">
        <v>92.0</v>
      </c>
      <c r="C83" s="4">
        <v>105.0</v>
      </c>
      <c r="D83" s="4" t="s">
        <v>6</v>
      </c>
      <c r="E83" s="3">
        <f t="shared" si="1"/>
        <v>0.003361344538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4">
        <v>66.0</v>
      </c>
      <c r="B84" s="4">
        <v>140.0</v>
      </c>
      <c r="C84" s="4">
        <v>31.0</v>
      </c>
      <c r="D84" s="4" t="s">
        <v>6</v>
      </c>
      <c r="E84" s="3">
        <f t="shared" si="1"/>
        <v>0.03616813294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4">
        <v>76.0</v>
      </c>
      <c r="B85" s="4">
        <v>100.0</v>
      </c>
      <c r="C85" s="4">
        <v>125.0</v>
      </c>
      <c r="D85" s="4" t="s">
        <v>6</v>
      </c>
      <c r="E85" s="3">
        <f t="shared" si="1"/>
        <v>0.002526315789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4">
        <v>64.0</v>
      </c>
      <c r="B86" s="4">
        <v>88.0</v>
      </c>
      <c r="C86" s="4">
        <v>95.0</v>
      </c>
      <c r="D86" s="4" t="s">
        <v>6</v>
      </c>
      <c r="E86" s="3">
        <f t="shared" si="1"/>
        <v>0.003947368421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4">
        <v>46.0</v>
      </c>
      <c r="B87" s="4">
        <v>92.0</v>
      </c>
      <c r="C87" s="4">
        <v>21.0</v>
      </c>
      <c r="D87" s="4" t="s">
        <v>6</v>
      </c>
      <c r="E87" s="3">
        <f t="shared" si="1"/>
        <v>0.04761904762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4">
        <v>58.0</v>
      </c>
      <c r="B88" s="4">
        <v>82.0</v>
      </c>
      <c r="C88" s="4">
        <v>80.0</v>
      </c>
      <c r="D88" s="4" t="s">
        <v>6</v>
      </c>
      <c r="E88" s="3">
        <f t="shared" si="1"/>
        <v>0.005172413793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4">
        <v>47.0</v>
      </c>
      <c r="B89" s="4">
        <v>74.0</v>
      </c>
      <c r="C89" s="4">
        <v>60.0</v>
      </c>
      <c r="D89" s="4" t="s">
        <v>6</v>
      </c>
      <c r="E89" s="3">
        <f t="shared" si="1"/>
        <v>0.009574468085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4">
        <v>72.0</v>
      </c>
      <c r="B90" s="4">
        <v>96.0</v>
      </c>
      <c r="C90" s="4">
        <v>115.0</v>
      </c>
      <c r="D90" s="4" t="s">
        <v>6</v>
      </c>
      <c r="E90" s="3">
        <f t="shared" si="1"/>
        <v>0.002898550725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4">
        <v>56.0</v>
      </c>
      <c r="B91" s="4">
        <v>115.0</v>
      </c>
      <c r="C91" s="4">
        <v>26.0</v>
      </c>
      <c r="D91" s="4" t="s">
        <v>6</v>
      </c>
      <c r="E91" s="3">
        <f t="shared" si="1"/>
        <v>0.04052197802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4">
        <v>98.0</v>
      </c>
      <c r="B92" s="4">
        <v>155.0</v>
      </c>
      <c r="C92" s="4">
        <v>180.0</v>
      </c>
      <c r="D92" s="4" t="s">
        <v>6</v>
      </c>
      <c r="E92" s="3">
        <f t="shared" si="1"/>
        <v>0.003231292517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4">
        <v>38.0</v>
      </c>
      <c r="B93" s="4">
        <v>76.0</v>
      </c>
      <c r="C93" s="4">
        <v>17.0</v>
      </c>
      <c r="D93" s="4" t="s">
        <v>6</v>
      </c>
      <c r="E93" s="3">
        <f t="shared" si="1"/>
        <v>0.05882352941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4">
        <v>48.0</v>
      </c>
      <c r="B94" s="4">
        <v>96.0</v>
      </c>
      <c r="C94" s="4">
        <v>22.0</v>
      </c>
      <c r="D94" s="4" t="s">
        <v>6</v>
      </c>
      <c r="E94" s="3">
        <f t="shared" si="1"/>
        <v>0.04545454545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4">
        <v>116.0</v>
      </c>
      <c r="B95" s="4">
        <v>265.0</v>
      </c>
      <c r="C95" s="4">
        <v>56.0</v>
      </c>
      <c r="D95" s="4" t="s">
        <v>6</v>
      </c>
      <c r="E95" s="3">
        <f t="shared" si="1"/>
        <v>0.02293719212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4">
        <v>94.0</v>
      </c>
      <c r="B96" s="4">
        <v>145.0</v>
      </c>
      <c r="C96" s="4">
        <v>170.0</v>
      </c>
      <c r="D96" s="4" t="s">
        <v>6</v>
      </c>
      <c r="E96" s="3">
        <f t="shared" si="1"/>
        <v>0.003191489362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4">
        <v>82.0</v>
      </c>
      <c r="B97" s="4">
        <v>115.0</v>
      </c>
      <c r="C97" s="4">
        <v>140.0</v>
      </c>
      <c r="D97" s="4" t="s">
        <v>6</v>
      </c>
      <c r="E97" s="3">
        <f t="shared" si="1"/>
        <v>0.00287456446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4">
        <v>68.0</v>
      </c>
      <c r="B98" s="4">
        <v>145.0</v>
      </c>
      <c r="C98" s="4">
        <v>32.0</v>
      </c>
      <c r="D98" s="4" t="s">
        <v>6</v>
      </c>
      <c r="E98" s="3">
        <f t="shared" si="1"/>
        <v>0.03538602941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4">
        <v>54.0</v>
      </c>
      <c r="B99" s="4">
        <v>110.0</v>
      </c>
      <c r="C99" s="4">
        <v>25.0</v>
      </c>
      <c r="D99" s="4" t="s">
        <v>6</v>
      </c>
      <c r="E99" s="3">
        <f t="shared" si="1"/>
        <v>0.04148148148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4">
        <v>35.0</v>
      </c>
      <c r="B100" s="4">
        <v>60.0</v>
      </c>
      <c r="C100" s="4">
        <v>35.0</v>
      </c>
      <c r="D100" s="4" t="s">
        <v>6</v>
      </c>
      <c r="E100" s="3">
        <f t="shared" si="1"/>
        <v>0.02040816327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4">
        <v>25.0</v>
      </c>
      <c r="B101" s="4">
        <v>45.0</v>
      </c>
      <c r="C101" s="4">
        <v>16.0</v>
      </c>
      <c r="D101" s="4" t="s">
        <v>6</v>
      </c>
      <c r="E101" s="3">
        <f t="shared" si="1"/>
        <v>0.05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autoFilter ref="$A$1:$W$1000">
    <sortState ref="A1:W1000">
      <sortCondition ref="D1:D1000"/>
      <sortCondition ref="E1:E1000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3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1">
        <v>78.0</v>
      </c>
      <c r="B2" s="4">
        <v>80.0</v>
      </c>
      <c r="C2" s="4">
        <v>162.0</v>
      </c>
      <c r="D2" s="4" t="s">
        <v>5</v>
      </c>
      <c r="E2" s="3">
        <f t="shared" ref="E2:E101" si="1">((B2/A2)-1)/C2</f>
        <v>0.0001582779361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1">
        <v>49.0</v>
      </c>
      <c r="B3" s="4">
        <v>60.0</v>
      </c>
      <c r="C3" s="4">
        <v>89.0</v>
      </c>
      <c r="D3" s="4" t="s">
        <v>5</v>
      </c>
      <c r="E3" s="3">
        <f t="shared" si="1"/>
        <v>0.002522357258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1">
        <v>76.0</v>
      </c>
      <c r="B4" s="4">
        <v>100.0</v>
      </c>
      <c r="C4" s="4">
        <v>125.0</v>
      </c>
      <c r="D4" s="4" t="s">
        <v>5</v>
      </c>
      <c r="E4" s="3">
        <f t="shared" si="1"/>
        <v>0.002526315789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1">
        <v>74.0</v>
      </c>
      <c r="B5" s="4">
        <v>98.0</v>
      </c>
      <c r="C5" s="4">
        <v>120.0</v>
      </c>
      <c r="D5" s="4" t="s">
        <v>5</v>
      </c>
      <c r="E5" s="3">
        <f t="shared" si="1"/>
        <v>0.002702702703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1">
        <v>82.0</v>
      </c>
      <c r="B6" s="4">
        <v>115.0</v>
      </c>
      <c r="C6" s="4">
        <v>140.0</v>
      </c>
      <c r="D6" s="4" t="s">
        <v>5</v>
      </c>
      <c r="E6" s="3">
        <f t="shared" si="1"/>
        <v>0.00287456446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1">
        <v>72.0</v>
      </c>
      <c r="B7" s="4">
        <v>96.0</v>
      </c>
      <c r="C7" s="4">
        <v>115.0</v>
      </c>
      <c r="D7" s="4" t="s">
        <v>5</v>
      </c>
      <c r="E7" s="3">
        <f t="shared" si="1"/>
        <v>0.002898550725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1">
        <v>84.0</v>
      </c>
      <c r="B8" s="4">
        <v>120.0</v>
      </c>
      <c r="C8" s="4">
        <v>145.0</v>
      </c>
      <c r="D8" s="4" t="s">
        <v>5</v>
      </c>
      <c r="E8" s="3">
        <f t="shared" si="1"/>
        <v>0.002955665025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1">
        <v>86.0</v>
      </c>
      <c r="B9" s="4">
        <v>125.0</v>
      </c>
      <c r="C9" s="4">
        <v>150.0</v>
      </c>
      <c r="D9" s="4" t="s">
        <v>5</v>
      </c>
      <c r="E9" s="3">
        <f t="shared" si="1"/>
        <v>0.003023255814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1">
        <v>90.0</v>
      </c>
      <c r="B10" s="4">
        <v>135.0</v>
      </c>
      <c r="C10" s="4">
        <v>160.0</v>
      </c>
      <c r="D10" s="4" t="s">
        <v>5</v>
      </c>
      <c r="E10" s="3">
        <f t="shared" si="1"/>
        <v>0.003125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1">
        <v>92.0</v>
      </c>
      <c r="B11" s="4">
        <v>140.0</v>
      </c>
      <c r="C11" s="4">
        <v>165.0</v>
      </c>
      <c r="D11" s="4" t="s">
        <v>5</v>
      </c>
      <c r="E11" s="3">
        <f t="shared" si="1"/>
        <v>0.003162055336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1">
        <v>94.0</v>
      </c>
      <c r="B12" s="4">
        <v>145.0</v>
      </c>
      <c r="C12" s="4">
        <v>170.0</v>
      </c>
      <c r="D12" s="4" t="s">
        <v>5</v>
      </c>
      <c r="E12" s="3">
        <f t="shared" si="1"/>
        <v>0.003191489362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1">
        <v>96.0</v>
      </c>
      <c r="B13" s="4">
        <v>150.0</v>
      </c>
      <c r="C13" s="4">
        <v>175.0</v>
      </c>
      <c r="D13" s="4" t="s">
        <v>5</v>
      </c>
      <c r="E13" s="3">
        <f t="shared" si="1"/>
        <v>0.003214285714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1">
        <v>100.0</v>
      </c>
      <c r="B14" s="4">
        <v>160.0</v>
      </c>
      <c r="C14" s="4">
        <v>185.0</v>
      </c>
      <c r="D14" s="4" t="s">
        <v>5</v>
      </c>
      <c r="E14" s="3">
        <f t="shared" si="1"/>
        <v>0.003243243243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1">
        <v>66.0</v>
      </c>
      <c r="B15" s="4">
        <v>90.0</v>
      </c>
      <c r="C15" s="4">
        <v>100.0</v>
      </c>
      <c r="D15" s="4" t="s">
        <v>5</v>
      </c>
      <c r="E15" s="3">
        <f t="shared" si="1"/>
        <v>0.003636363636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1">
        <v>62.0</v>
      </c>
      <c r="B16" s="4">
        <v>86.0</v>
      </c>
      <c r="C16" s="4">
        <v>90.0</v>
      </c>
      <c r="D16" s="4" t="s">
        <v>5</v>
      </c>
      <c r="E16" s="3">
        <f t="shared" si="1"/>
        <v>0.004301075269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1">
        <v>60.0</v>
      </c>
      <c r="B17" s="4">
        <v>84.0</v>
      </c>
      <c r="C17" s="4">
        <v>85.0</v>
      </c>
      <c r="D17" s="4" t="s">
        <v>5</v>
      </c>
      <c r="E17" s="3">
        <f t="shared" si="1"/>
        <v>0.004705882353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1">
        <v>58.0</v>
      </c>
      <c r="B18" s="4">
        <v>82.0</v>
      </c>
      <c r="C18" s="4">
        <v>80.0</v>
      </c>
      <c r="D18" s="4" t="s">
        <v>5</v>
      </c>
      <c r="E18" s="3">
        <f t="shared" si="1"/>
        <v>0.005172413793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1">
        <v>40.0</v>
      </c>
      <c r="B19" s="4">
        <v>55.0</v>
      </c>
      <c r="C19" s="4">
        <v>62.0</v>
      </c>
      <c r="D19" s="4" t="s">
        <v>5</v>
      </c>
      <c r="E19" s="3">
        <f t="shared" si="1"/>
        <v>0.006048387097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1">
        <v>50.0</v>
      </c>
      <c r="B20" s="4">
        <v>76.0</v>
      </c>
      <c r="C20" s="4">
        <v>65.0</v>
      </c>
      <c r="D20" s="4" t="s">
        <v>5</v>
      </c>
      <c r="E20" s="3">
        <f t="shared" si="1"/>
        <v>0.008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1">
        <v>45.0</v>
      </c>
      <c r="B21" s="4">
        <v>72.0</v>
      </c>
      <c r="C21" s="4">
        <v>55.0</v>
      </c>
      <c r="D21" s="4" t="s">
        <v>5</v>
      </c>
      <c r="E21" s="3">
        <f t="shared" si="1"/>
        <v>0.01090909091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1">
        <v>37.0</v>
      </c>
      <c r="B22" s="4">
        <v>65.0</v>
      </c>
      <c r="C22" s="4">
        <v>40.0</v>
      </c>
      <c r="D22" s="4" t="s">
        <v>5</v>
      </c>
      <c r="E22" s="3">
        <f t="shared" si="1"/>
        <v>0.01891891892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1">
        <v>35.0</v>
      </c>
      <c r="B23" s="4">
        <v>60.0</v>
      </c>
      <c r="C23" s="4">
        <v>35.0</v>
      </c>
      <c r="D23" s="4" t="s">
        <v>5</v>
      </c>
      <c r="E23" s="3">
        <f t="shared" si="1"/>
        <v>0.02040816327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1">
        <v>33.0</v>
      </c>
      <c r="B24" s="4">
        <v>55.0</v>
      </c>
      <c r="C24" s="4">
        <v>30.0</v>
      </c>
      <c r="D24" s="4" t="s">
        <v>5</v>
      </c>
      <c r="E24" s="3">
        <f t="shared" si="1"/>
        <v>0.02222222222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1">
        <v>116.0</v>
      </c>
      <c r="B25" s="4">
        <v>265.0</v>
      </c>
      <c r="C25" s="4">
        <v>56.0</v>
      </c>
      <c r="D25" s="4" t="s">
        <v>5</v>
      </c>
      <c r="E25" s="3">
        <f t="shared" si="1"/>
        <v>0.02293719212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1">
        <v>108.0</v>
      </c>
      <c r="B26" s="4">
        <v>245.0</v>
      </c>
      <c r="C26" s="4">
        <v>52.0</v>
      </c>
      <c r="D26" s="4" t="s">
        <v>5</v>
      </c>
      <c r="E26" s="3">
        <f t="shared" si="1"/>
        <v>0.02439458689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1">
        <v>100.0</v>
      </c>
      <c r="B27" s="4">
        <v>225.0</v>
      </c>
      <c r="C27" s="4">
        <v>48.0</v>
      </c>
      <c r="D27" s="4" t="s">
        <v>5</v>
      </c>
      <c r="E27" s="3">
        <f t="shared" si="1"/>
        <v>0.02604166667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1">
        <v>96.0</v>
      </c>
      <c r="B28" s="4">
        <v>215.0</v>
      </c>
      <c r="C28" s="4">
        <v>46.0</v>
      </c>
      <c r="D28" s="4" t="s">
        <v>5</v>
      </c>
      <c r="E28" s="3">
        <f t="shared" si="1"/>
        <v>0.02694746377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1">
        <v>94.0</v>
      </c>
      <c r="B29" s="4">
        <v>210.0</v>
      </c>
      <c r="C29" s="4">
        <v>45.0</v>
      </c>
      <c r="D29" s="4" t="s">
        <v>5</v>
      </c>
      <c r="E29" s="3">
        <f t="shared" si="1"/>
        <v>0.02742316785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1">
        <v>92.0</v>
      </c>
      <c r="B30" s="4">
        <v>205.0</v>
      </c>
      <c r="C30" s="4">
        <v>44.0</v>
      </c>
      <c r="D30" s="4" t="s">
        <v>5</v>
      </c>
      <c r="E30" s="3">
        <f t="shared" si="1"/>
        <v>0.02791501976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1">
        <v>90.0</v>
      </c>
      <c r="B31" s="4">
        <v>200.0</v>
      </c>
      <c r="C31" s="4">
        <v>43.0</v>
      </c>
      <c r="D31" s="4" t="s">
        <v>5</v>
      </c>
      <c r="E31" s="3">
        <f t="shared" si="1"/>
        <v>0.02842377261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1">
        <v>88.0</v>
      </c>
      <c r="B32" s="4">
        <v>195.0</v>
      </c>
      <c r="C32" s="4">
        <v>42.0</v>
      </c>
      <c r="D32" s="4" t="s">
        <v>5</v>
      </c>
      <c r="E32" s="3">
        <f t="shared" si="1"/>
        <v>0.02895021645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1">
        <v>30.0</v>
      </c>
      <c r="B33" s="4">
        <v>52.0</v>
      </c>
      <c r="C33" s="4">
        <v>25.0</v>
      </c>
      <c r="D33" s="4" t="s">
        <v>5</v>
      </c>
      <c r="E33" s="3">
        <f t="shared" si="1"/>
        <v>0.02933333333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1">
        <v>84.0</v>
      </c>
      <c r="B34" s="4">
        <v>185.0</v>
      </c>
      <c r="C34" s="4">
        <v>40.0</v>
      </c>
      <c r="D34" s="4" t="s">
        <v>5</v>
      </c>
      <c r="E34" s="3">
        <f t="shared" si="1"/>
        <v>0.03005952381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1">
        <v>80.0</v>
      </c>
      <c r="B35" s="4">
        <v>175.0</v>
      </c>
      <c r="C35" s="4">
        <v>38.0</v>
      </c>
      <c r="D35" s="4" t="s">
        <v>5</v>
      </c>
      <c r="E35" s="3">
        <f t="shared" si="1"/>
        <v>0.03125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1">
        <v>78.0</v>
      </c>
      <c r="B36" s="4">
        <v>170.0</v>
      </c>
      <c r="C36" s="4">
        <v>37.0</v>
      </c>
      <c r="D36" s="4" t="s">
        <v>5</v>
      </c>
      <c r="E36" s="3">
        <f t="shared" si="1"/>
        <v>0.03187803188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1">
        <v>74.0</v>
      </c>
      <c r="B37" s="4">
        <v>160.0</v>
      </c>
      <c r="C37" s="4">
        <v>35.0</v>
      </c>
      <c r="D37" s="4" t="s">
        <v>5</v>
      </c>
      <c r="E37" s="3">
        <f t="shared" si="1"/>
        <v>0.0332046332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1">
        <v>70.0</v>
      </c>
      <c r="B38" s="4">
        <v>150.0</v>
      </c>
      <c r="C38" s="4">
        <v>33.0</v>
      </c>
      <c r="D38" s="4" t="s">
        <v>5</v>
      </c>
      <c r="E38" s="3">
        <f t="shared" si="1"/>
        <v>0.03463203463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1">
        <v>66.0</v>
      </c>
      <c r="B39" s="4">
        <v>140.0</v>
      </c>
      <c r="C39" s="4">
        <v>31.0</v>
      </c>
      <c r="D39" s="4" t="s">
        <v>5</v>
      </c>
      <c r="E39" s="3">
        <f t="shared" si="1"/>
        <v>0.03616813294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1">
        <v>60.0</v>
      </c>
      <c r="B40" s="4">
        <v>125.0</v>
      </c>
      <c r="C40" s="4">
        <v>28.0</v>
      </c>
      <c r="D40" s="4" t="s">
        <v>5</v>
      </c>
      <c r="E40" s="3">
        <f t="shared" si="1"/>
        <v>0.03869047619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1">
        <v>58.0</v>
      </c>
      <c r="B41" s="4">
        <v>120.0</v>
      </c>
      <c r="C41" s="4">
        <v>27.0</v>
      </c>
      <c r="D41" s="4" t="s">
        <v>5</v>
      </c>
      <c r="E41" s="3">
        <f t="shared" si="1"/>
        <v>0.03959131545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1">
        <v>56.0</v>
      </c>
      <c r="B42" s="4">
        <v>115.0</v>
      </c>
      <c r="C42" s="4">
        <v>26.0</v>
      </c>
      <c r="D42" s="4" t="s">
        <v>5</v>
      </c>
      <c r="E42" s="3">
        <f t="shared" si="1"/>
        <v>0.04052197802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1">
        <v>54.0</v>
      </c>
      <c r="B43" s="4">
        <v>110.0</v>
      </c>
      <c r="C43" s="4">
        <v>25.0</v>
      </c>
      <c r="D43" s="4" t="s">
        <v>5</v>
      </c>
      <c r="E43" s="3">
        <f t="shared" si="1"/>
        <v>0.04148148148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1">
        <v>50.0</v>
      </c>
      <c r="B44" s="4">
        <v>100.0</v>
      </c>
      <c r="C44" s="4">
        <v>23.0</v>
      </c>
      <c r="D44" s="4" t="s">
        <v>5</v>
      </c>
      <c r="E44" s="3">
        <f t="shared" si="1"/>
        <v>0.04347826087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1">
        <v>48.0</v>
      </c>
      <c r="B45" s="4">
        <v>96.0</v>
      </c>
      <c r="C45" s="4">
        <v>22.0</v>
      </c>
      <c r="D45" s="4" t="s">
        <v>5</v>
      </c>
      <c r="E45" s="3">
        <f t="shared" si="1"/>
        <v>0.04545454545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1">
        <v>46.0</v>
      </c>
      <c r="B46" s="4">
        <v>92.0</v>
      </c>
      <c r="C46" s="4">
        <v>21.0</v>
      </c>
      <c r="D46" s="4" t="s">
        <v>5</v>
      </c>
      <c r="E46" s="3">
        <f t="shared" si="1"/>
        <v>0.04761904762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1">
        <v>44.0</v>
      </c>
      <c r="B47" s="4">
        <v>88.0</v>
      </c>
      <c r="C47" s="4">
        <v>20.0</v>
      </c>
      <c r="D47" s="4" t="s">
        <v>5</v>
      </c>
      <c r="E47" s="3">
        <f t="shared" si="1"/>
        <v>0.05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1">
        <v>25.0</v>
      </c>
      <c r="B48" s="4">
        <v>45.0</v>
      </c>
      <c r="C48" s="4">
        <v>16.0</v>
      </c>
      <c r="D48" s="4" t="s">
        <v>5</v>
      </c>
      <c r="E48" s="3">
        <f t="shared" si="1"/>
        <v>0.05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1">
        <v>38.0</v>
      </c>
      <c r="B49" s="4">
        <v>76.0</v>
      </c>
      <c r="C49" s="4">
        <v>17.0</v>
      </c>
      <c r="D49" s="4" t="s">
        <v>5</v>
      </c>
      <c r="E49" s="3">
        <f t="shared" si="1"/>
        <v>0.05882352941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1">
        <v>34.0</v>
      </c>
      <c r="B50" s="4">
        <v>68.0</v>
      </c>
      <c r="C50" s="4">
        <v>15.0</v>
      </c>
      <c r="D50" s="4" t="s">
        <v>5</v>
      </c>
      <c r="E50" s="3">
        <f t="shared" si="1"/>
        <v>0.06666666667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1">
        <v>20.0</v>
      </c>
      <c r="B51" s="4">
        <v>38.0</v>
      </c>
      <c r="C51" s="4">
        <v>12.0</v>
      </c>
      <c r="D51" s="4" t="s">
        <v>5</v>
      </c>
      <c r="E51" s="3">
        <f t="shared" si="1"/>
        <v>0.075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1">
        <v>28.0</v>
      </c>
      <c r="B52" s="4">
        <v>56.0</v>
      </c>
      <c r="C52" s="4">
        <v>12.0</v>
      </c>
      <c r="D52" s="4" t="s">
        <v>5</v>
      </c>
      <c r="E52" s="3">
        <f t="shared" si="1"/>
        <v>0.08333333333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1">
        <v>18.0</v>
      </c>
      <c r="B53" s="4">
        <v>32.0</v>
      </c>
      <c r="C53" s="4">
        <v>9.0</v>
      </c>
      <c r="D53" s="4" t="s">
        <v>5</v>
      </c>
      <c r="E53" s="3">
        <f t="shared" si="1"/>
        <v>0.08641975309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1">
        <v>26.0</v>
      </c>
      <c r="B54" s="4">
        <v>52.0</v>
      </c>
      <c r="C54" s="4">
        <v>11.0</v>
      </c>
      <c r="D54" s="4" t="s">
        <v>5</v>
      </c>
      <c r="E54" s="3">
        <f t="shared" si="1"/>
        <v>0.09090909091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1">
        <v>15.0</v>
      </c>
      <c r="B55" s="4">
        <v>35.0</v>
      </c>
      <c r="C55" s="4">
        <v>13.0</v>
      </c>
      <c r="D55" s="4" t="s">
        <v>5</v>
      </c>
      <c r="E55" s="3">
        <f t="shared" si="1"/>
        <v>0.1025641026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1">
        <v>18.0</v>
      </c>
      <c r="B56" s="4">
        <v>36.0</v>
      </c>
      <c r="C56" s="4">
        <v>7.0</v>
      </c>
      <c r="D56" s="4" t="s">
        <v>5</v>
      </c>
      <c r="E56" s="3">
        <f t="shared" si="1"/>
        <v>0.1428571429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1">
        <v>16.0</v>
      </c>
      <c r="B57" s="4">
        <v>32.0</v>
      </c>
      <c r="C57" s="4">
        <v>6.0</v>
      </c>
      <c r="D57" s="4" t="s">
        <v>5</v>
      </c>
      <c r="E57" s="3">
        <f t="shared" si="1"/>
        <v>0.1666666667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1">
        <v>14.0</v>
      </c>
      <c r="B58" s="4">
        <v>28.0</v>
      </c>
      <c r="C58" s="4">
        <v>5.0</v>
      </c>
      <c r="D58" s="4" t="s">
        <v>5</v>
      </c>
      <c r="E58" s="3">
        <f t="shared" si="1"/>
        <v>0.2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1">
        <v>12.0</v>
      </c>
      <c r="B59" s="4">
        <v>25.0</v>
      </c>
      <c r="C59" s="4">
        <v>5.0</v>
      </c>
      <c r="D59" s="4" t="s">
        <v>5</v>
      </c>
      <c r="E59" s="3">
        <f t="shared" si="1"/>
        <v>0.2166666667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1">
        <v>11.0</v>
      </c>
      <c r="B60" s="4">
        <v>30.0</v>
      </c>
      <c r="C60" s="4">
        <v>7.0</v>
      </c>
      <c r="D60" s="4" t="s">
        <v>5</v>
      </c>
      <c r="E60" s="3">
        <f t="shared" si="1"/>
        <v>0.2467532468</v>
      </c>
      <c r="F60" s="5">
        <f>geomean(E60:E61)</f>
        <v>0.0157349566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1">
        <v>67.0</v>
      </c>
      <c r="B61" s="4">
        <v>75.0</v>
      </c>
      <c r="C61" s="4">
        <v>119.0</v>
      </c>
      <c r="D61" s="4" t="s">
        <v>6</v>
      </c>
      <c r="E61" s="3">
        <f t="shared" si="1"/>
        <v>0.001003386429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1">
        <v>78.0</v>
      </c>
      <c r="B62" s="4">
        <v>105.0</v>
      </c>
      <c r="C62" s="4">
        <v>130.0</v>
      </c>
      <c r="D62" s="4" t="s">
        <v>6</v>
      </c>
      <c r="E62" s="3">
        <f t="shared" si="1"/>
        <v>0.002662721893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1">
        <v>80.0</v>
      </c>
      <c r="B63" s="4">
        <v>110.0</v>
      </c>
      <c r="C63" s="4">
        <v>135.0</v>
      </c>
      <c r="D63" s="4" t="s">
        <v>6</v>
      </c>
      <c r="E63" s="3">
        <f t="shared" si="1"/>
        <v>0.002777777778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1">
        <v>88.0</v>
      </c>
      <c r="B64" s="4">
        <v>130.0</v>
      </c>
      <c r="C64" s="4">
        <v>155.0</v>
      </c>
      <c r="D64" s="4" t="s">
        <v>6</v>
      </c>
      <c r="E64" s="3">
        <f t="shared" si="1"/>
        <v>0.003079178886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1">
        <v>70.0</v>
      </c>
      <c r="B65" s="4">
        <v>94.0</v>
      </c>
      <c r="C65" s="4">
        <v>110.0</v>
      </c>
      <c r="D65" s="4" t="s">
        <v>6</v>
      </c>
      <c r="E65" s="3">
        <f t="shared" si="1"/>
        <v>0.003116883117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1">
        <v>98.0</v>
      </c>
      <c r="B66" s="4">
        <v>155.0</v>
      </c>
      <c r="C66" s="4">
        <v>180.0</v>
      </c>
      <c r="D66" s="4" t="s">
        <v>6</v>
      </c>
      <c r="E66" s="3">
        <f t="shared" si="1"/>
        <v>0.003231292517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1">
        <v>68.0</v>
      </c>
      <c r="B67" s="4">
        <v>92.0</v>
      </c>
      <c r="C67" s="4">
        <v>105.0</v>
      </c>
      <c r="D67" s="4" t="s">
        <v>6</v>
      </c>
      <c r="E67" s="3">
        <f t="shared" si="1"/>
        <v>0.003361344538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1">
        <v>64.0</v>
      </c>
      <c r="B68" s="4">
        <v>88.0</v>
      </c>
      <c r="C68" s="4">
        <v>95.0</v>
      </c>
      <c r="D68" s="4" t="s">
        <v>6</v>
      </c>
      <c r="E68" s="3">
        <f t="shared" si="1"/>
        <v>0.003947368421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1">
        <v>55.0</v>
      </c>
      <c r="B69" s="4">
        <v>80.0</v>
      </c>
      <c r="C69" s="4">
        <v>75.0</v>
      </c>
      <c r="D69" s="4" t="s">
        <v>6</v>
      </c>
      <c r="E69" s="3">
        <f t="shared" si="1"/>
        <v>0.006060606061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1">
        <v>53.0</v>
      </c>
      <c r="B70" s="4">
        <v>78.0</v>
      </c>
      <c r="C70" s="4">
        <v>70.0</v>
      </c>
      <c r="D70" s="4" t="s">
        <v>6</v>
      </c>
      <c r="E70" s="3">
        <f t="shared" si="1"/>
        <v>0.006738544474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1">
        <v>47.0</v>
      </c>
      <c r="B71" s="4">
        <v>74.0</v>
      </c>
      <c r="C71" s="4">
        <v>60.0</v>
      </c>
      <c r="D71" s="4" t="s">
        <v>6</v>
      </c>
      <c r="E71" s="3">
        <f t="shared" si="1"/>
        <v>0.009574468085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1">
        <v>42.0</v>
      </c>
      <c r="B72" s="4">
        <v>70.0</v>
      </c>
      <c r="C72" s="4">
        <v>50.0</v>
      </c>
      <c r="D72" s="4" t="s">
        <v>6</v>
      </c>
      <c r="E72" s="3">
        <f t="shared" si="1"/>
        <v>0.01333333333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1">
        <v>39.0</v>
      </c>
      <c r="B73" s="4">
        <v>68.0</v>
      </c>
      <c r="C73" s="4">
        <v>45.0</v>
      </c>
      <c r="D73" s="4" t="s">
        <v>6</v>
      </c>
      <c r="E73" s="3">
        <f t="shared" si="1"/>
        <v>0.01652421652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1">
        <v>118.0</v>
      </c>
      <c r="B74" s="4">
        <v>270.0</v>
      </c>
      <c r="C74" s="4">
        <v>57.0</v>
      </c>
      <c r="D74" s="4" t="s">
        <v>6</v>
      </c>
      <c r="E74" s="3">
        <f t="shared" si="1"/>
        <v>0.02259887006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1">
        <v>114.0</v>
      </c>
      <c r="B75" s="4">
        <v>260.0</v>
      </c>
      <c r="C75" s="4">
        <v>55.0</v>
      </c>
      <c r="D75" s="4" t="s">
        <v>6</v>
      </c>
      <c r="E75" s="3">
        <f t="shared" si="1"/>
        <v>0.02328548644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1">
        <v>112.0</v>
      </c>
      <c r="B76" s="4">
        <v>255.0</v>
      </c>
      <c r="C76" s="4">
        <v>54.0</v>
      </c>
      <c r="D76" s="4" t="s">
        <v>6</v>
      </c>
      <c r="E76" s="3">
        <f t="shared" si="1"/>
        <v>0.02364417989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1">
        <v>110.0</v>
      </c>
      <c r="B77" s="4">
        <v>250.0</v>
      </c>
      <c r="C77" s="4">
        <v>53.0</v>
      </c>
      <c r="D77" s="4" t="s">
        <v>6</v>
      </c>
      <c r="E77" s="3">
        <f t="shared" si="1"/>
        <v>0.02401372213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1">
        <v>106.0</v>
      </c>
      <c r="B78" s="4">
        <v>240.0</v>
      </c>
      <c r="C78" s="4">
        <v>51.0</v>
      </c>
      <c r="D78" s="4" t="s">
        <v>6</v>
      </c>
      <c r="E78" s="3">
        <f t="shared" si="1"/>
        <v>0.0247872734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1">
        <v>104.0</v>
      </c>
      <c r="B79" s="4">
        <v>235.0</v>
      </c>
      <c r="C79" s="4">
        <v>50.0</v>
      </c>
      <c r="D79" s="4" t="s">
        <v>6</v>
      </c>
      <c r="E79" s="3">
        <f t="shared" si="1"/>
        <v>0.02519230769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1">
        <v>102.0</v>
      </c>
      <c r="B80" s="4">
        <v>230.0</v>
      </c>
      <c r="C80" s="4">
        <v>49.0</v>
      </c>
      <c r="D80" s="4" t="s">
        <v>6</v>
      </c>
      <c r="E80" s="3">
        <f t="shared" si="1"/>
        <v>0.0256102441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1">
        <v>98.0</v>
      </c>
      <c r="B81" s="4">
        <v>220.0</v>
      </c>
      <c r="C81" s="4">
        <v>47.0</v>
      </c>
      <c r="D81" s="4" t="s">
        <v>6</v>
      </c>
      <c r="E81" s="3">
        <f t="shared" si="1"/>
        <v>0.02648719062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1">
        <v>86.0</v>
      </c>
      <c r="B82" s="4">
        <v>190.0</v>
      </c>
      <c r="C82" s="4">
        <v>41.0</v>
      </c>
      <c r="D82" s="4" t="s">
        <v>6</v>
      </c>
      <c r="E82" s="3">
        <f t="shared" si="1"/>
        <v>0.02949517867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1">
        <v>82.0</v>
      </c>
      <c r="B83" s="4">
        <v>180.0</v>
      </c>
      <c r="C83" s="4">
        <v>39.0</v>
      </c>
      <c r="D83" s="4" t="s">
        <v>6</v>
      </c>
      <c r="E83" s="3">
        <f t="shared" si="1"/>
        <v>0.0306441526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1">
        <v>76.0</v>
      </c>
      <c r="B84" s="4">
        <v>165.0</v>
      </c>
      <c r="C84" s="4">
        <v>36.0</v>
      </c>
      <c r="D84" s="4" t="s">
        <v>6</v>
      </c>
      <c r="E84" s="3">
        <f t="shared" si="1"/>
        <v>0.03252923977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1">
        <v>72.0</v>
      </c>
      <c r="B85" s="4">
        <v>155.0</v>
      </c>
      <c r="C85" s="4">
        <v>34.0</v>
      </c>
      <c r="D85" s="4" t="s">
        <v>6</v>
      </c>
      <c r="E85" s="3">
        <f t="shared" si="1"/>
        <v>0.03390522876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1">
        <v>68.0</v>
      </c>
      <c r="B86" s="4">
        <v>145.0</v>
      </c>
      <c r="C86" s="4">
        <v>32.0</v>
      </c>
      <c r="D86" s="4" t="s">
        <v>6</v>
      </c>
      <c r="E86" s="3">
        <f t="shared" si="1"/>
        <v>0.03538602941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1">
        <v>28.0</v>
      </c>
      <c r="B87" s="4">
        <v>48.0</v>
      </c>
      <c r="C87" s="4">
        <v>20.0</v>
      </c>
      <c r="D87" s="4" t="s">
        <v>6</v>
      </c>
      <c r="E87" s="3">
        <f t="shared" si="1"/>
        <v>0.03571428571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1">
        <v>64.0</v>
      </c>
      <c r="B88" s="4">
        <v>135.0</v>
      </c>
      <c r="C88" s="4">
        <v>30.0</v>
      </c>
      <c r="D88" s="4" t="s">
        <v>6</v>
      </c>
      <c r="E88" s="3">
        <f t="shared" si="1"/>
        <v>0.03697916667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1">
        <v>62.0</v>
      </c>
      <c r="B89" s="4">
        <v>130.0</v>
      </c>
      <c r="C89" s="4">
        <v>29.0</v>
      </c>
      <c r="D89" s="4" t="s">
        <v>6</v>
      </c>
      <c r="E89" s="3">
        <f t="shared" si="1"/>
        <v>0.03781979978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1">
        <v>27.0</v>
      </c>
      <c r="B90" s="4">
        <v>50.0</v>
      </c>
      <c r="C90" s="4">
        <v>21.0</v>
      </c>
      <c r="D90" s="4" t="s">
        <v>6</v>
      </c>
      <c r="E90" s="3">
        <f t="shared" si="1"/>
        <v>0.0405643739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1">
        <v>52.0</v>
      </c>
      <c r="B91" s="4">
        <v>105.0</v>
      </c>
      <c r="C91" s="4">
        <v>24.0</v>
      </c>
      <c r="D91" s="4" t="s">
        <v>6</v>
      </c>
      <c r="E91" s="3">
        <f t="shared" si="1"/>
        <v>0.04246794872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1">
        <v>42.0</v>
      </c>
      <c r="B92" s="4">
        <v>84.0</v>
      </c>
      <c r="C92" s="4">
        <v>19.0</v>
      </c>
      <c r="D92" s="4" t="s">
        <v>6</v>
      </c>
      <c r="E92" s="3">
        <f t="shared" si="1"/>
        <v>0.05263157895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1">
        <v>40.0</v>
      </c>
      <c r="B93" s="4">
        <v>80.0</v>
      </c>
      <c r="C93" s="4">
        <v>18.0</v>
      </c>
      <c r="D93" s="4" t="s">
        <v>6</v>
      </c>
      <c r="E93" s="3">
        <f t="shared" si="1"/>
        <v>0.05555555556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1">
        <v>36.0</v>
      </c>
      <c r="B94" s="4">
        <v>72.0</v>
      </c>
      <c r="C94" s="4">
        <v>16.0</v>
      </c>
      <c r="D94" s="4" t="s">
        <v>6</v>
      </c>
      <c r="E94" s="3">
        <f t="shared" si="1"/>
        <v>0.0625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1">
        <v>32.0</v>
      </c>
      <c r="B95" s="4">
        <v>64.0</v>
      </c>
      <c r="C95" s="4">
        <v>14.0</v>
      </c>
      <c r="D95" s="4" t="s">
        <v>6</v>
      </c>
      <c r="E95" s="3">
        <f t="shared" si="1"/>
        <v>0.07142857143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1">
        <v>30.0</v>
      </c>
      <c r="B96" s="4">
        <v>60.0</v>
      </c>
      <c r="C96" s="4">
        <v>13.0</v>
      </c>
      <c r="D96" s="4" t="s">
        <v>6</v>
      </c>
      <c r="E96" s="3">
        <f t="shared" si="1"/>
        <v>0.07692307692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1">
        <v>24.0</v>
      </c>
      <c r="B97" s="4">
        <v>48.0</v>
      </c>
      <c r="C97" s="4">
        <v>10.0</v>
      </c>
      <c r="D97" s="4" t="s">
        <v>6</v>
      </c>
      <c r="E97" s="3">
        <f t="shared" si="1"/>
        <v>0.1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1">
        <v>22.0</v>
      </c>
      <c r="B98" s="4">
        <v>44.0</v>
      </c>
      <c r="C98" s="4">
        <v>9.0</v>
      </c>
      <c r="D98" s="4" t="s">
        <v>6</v>
      </c>
      <c r="E98" s="3">
        <f t="shared" si="1"/>
        <v>0.1111111111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1">
        <v>20.0</v>
      </c>
      <c r="B99" s="4">
        <v>40.0</v>
      </c>
      <c r="C99" s="4">
        <v>8.0</v>
      </c>
      <c r="D99" s="4" t="s">
        <v>6</v>
      </c>
      <c r="E99" s="3">
        <f t="shared" si="1"/>
        <v>0.125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1">
        <v>12.0</v>
      </c>
      <c r="B100" s="4">
        <v>24.0</v>
      </c>
      <c r="C100" s="4">
        <v>4.0</v>
      </c>
      <c r="D100" s="4" t="s">
        <v>6</v>
      </c>
      <c r="E100" s="3">
        <f t="shared" si="1"/>
        <v>0.25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1">
        <v>10.0</v>
      </c>
      <c r="B101" s="4">
        <v>20.0</v>
      </c>
      <c r="C101" s="4">
        <v>3.0</v>
      </c>
      <c r="D101" s="4" t="s">
        <v>6</v>
      </c>
      <c r="E101" s="3">
        <f t="shared" si="1"/>
        <v>0.3333333333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autoFilter ref="$A$1:$W$1000">
    <sortState ref="A1:W1000">
      <sortCondition ref="D1:D1000"/>
      <sortCondition ref="E1:E1000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4.75"/>
    <col customWidth="1" min="4" max="4" width="15.13"/>
    <col customWidth="1" min="5" max="5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1">
        <v>76.0</v>
      </c>
      <c r="B2" s="4">
        <v>100.0</v>
      </c>
      <c r="C2" s="4">
        <v>125.0</v>
      </c>
      <c r="D2" s="4" t="s">
        <v>5</v>
      </c>
      <c r="E2" s="3">
        <f t="shared" ref="E2:E101" si="1">((B2/A2)-1)/C2</f>
        <v>0.002526315789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1">
        <v>84.0</v>
      </c>
      <c r="B3" s="4">
        <v>120.0</v>
      </c>
      <c r="C3" s="4">
        <v>145.0</v>
      </c>
      <c r="D3" s="4" t="s">
        <v>5</v>
      </c>
      <c r="E3" s="3">
        <f t="shared" si="1"/>
        <v>0.002955665025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1">
        <v>86.0</v>
      </c>
      <c r="B4" s="4">
        <v>125.0</v>
      </c>
      <c r="C4" s="4">
        <v>150.0</v>
      </c>
      <c r="D4" s="4" t="s">
        <v>5</v>
      </c>
      <c r="E4" s="3">
        <f t="shared" si="1"/>
        <v>0.003023255814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1">
        <v>90.0</v>
      </c>
      <c r="B5" s="4">
        <v>135.0</v>
      </c>
      <c r="C5" s="4">
        <v>160.0</v>
      </c>
      <c r="D5" s="4" t="s">
        <v>5</v>
      </c>
      <c r="E5" s="3">
        <f t="shared" si="1"/>
        <v>0.003125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1">
        <v>94.0</v>
      </c>
      <c r="B6" s="4">
        <v>145.0</v>
      </c>
      <c r="C6" s="4">
        <v>170.0</v>
      </c>
      <c r="D6" s="4" t="s">
        <v>5</v>
      </c>
      <c r="E6" s="3">
        <f t="shared" si="1"/>
        <v>0.003191489362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1">
        <v>96.0</v>
      </c>
      <c r="B7" s="4">
        <v>150.0</v>
      </c>
      <c r="C7" s="4">
        <v>175.0</v>
      </c>
      <c r="D7" s="4" t="s">
        <v>5</v>
      </c>
      <c r="E7" s="3">
        <f t="shared" si="1"/>
        <v>0.003214285714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1">
        <v>98.0</v>
      </c>
      <c r="B8" s="4">
        <v>155.0</v>
      </c>
      <c r="C8" s="4">
        <v>180.0</v>
      </c>
      <c r="D8" s="4" t="s">
        <v>5</v>
      </c>
      <c r="E8" s="3">
        <f t="shared" si="1"/>
        <v>0.003231292517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1">
        <v>100.0</v>
      </c>
      <c r="B9" s="4">
        <v>160.0</v>
      </c>
      <c r="C9" s="4">
        <v>185.0</v>
      </c>
      <c r="D9" s="4" t="s">
        <v>5</v>
      </c>
      <c r="E9" s="3">
        <f t="shared" si="1"/>
        <v>0.003243243243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1">
        <v>68.0</v>
      </c>
      <c r="B10" s="4">
        <v>92.0</v>
      </c>
      <c r="C10" s="4">
        <v>105.0</v>
      </c>
      <c r="D10" s="4" t="s">
        <v>5</v>
      </c>
      <c r="E10" s="3">
        <f t="shared" si="1"/>
        <v>0.003361344538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1">
        <v>66.0</v>
      </c>
      <c r="B11" s="4">
        <v>90.0</v>
      </c>
      <c r="C11" s="4">
        <v>100.0</v>
      </c>
      <c r="D11" s="4" t="s">
        <v>5</v>
      </c>
      <c r="E11" s="3">
        <f t="shared" si="1"/>
        <v>0.003636363636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1">
        <v>58.0</v>
      </c>
      <c r="B12" s="4">
        <v>82.0</v>
      </c>
      <c r="C12" s="4">
        <v>80.0</v>
      </c>
      <c r="D12" s="4" t="s">
        <v>5</v>
      </c>
      <c r="E12" s="3">
        <f t="shared" si="1"/>
        <v>0.005172413793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1">
        <v>55.0</v>
      </c>
      <c r="B13" s="4">
        <v>80.0</v>
      </c>
      <c r="C13" s="4">
        <v>75.0</v>
      </c>
      <c r="D13" s="4" t="s">
        <v>5</v>
      </c>
      <c r="E13" s="3">
        <f t="shared" si="1"/>
        <v>0.006060606061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1">
        <v>47.0</v>
      </c>
      <c r="B14" s="4">
        <v>74.0</v>
      </c>
      <c r="C14" s="4">
        <v>60.0</v>
      </c>
      <c r="D14" s="4" t="s">
        <v>5</v>
      </c>
      <c r="E14" s="3">
        <f t="shared" si="1"/>
        <v>0.009574468085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1">
        <v>39.0</v>
      </c>
      <c r="B15" s="4">
        <v>68.0</v>
      </c>
      <c r="C15" s="4">
        <v>45.0</v>
      </c>
      <c r="D15" s="4" t="s">
        <v>5</v>
      </c>
      <c r="E15" s="3">
        <f t="shared" si="1"/>
        <v>0.01652421652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1">
        <v>37.0</v>
      </c>
      <c r="B16" s="4">
        <v>65.0</v>
      </c>
      <c r="C16" s="4">
        <v>40.0</v>
      </c>
      <c r="D16" s="4" t="s">
        <v>5</v>
      </c>
      <c r="E16" s="3">
        <f t="shared" si="1"/>
        <v>0.01891891892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1">
        <v>33.0</v>
      </c>
      <c r="B17" s="4">
        <v>55.0</v>
      </c>
      <c r="C17" s="4">
        <v>30.0</v>
      </c>
      <c r="D17" s="4" t="s">
        <v>5</v>
      </c>
      <c r="E17" s="3">
        <f t="shared" si="1"/>
        <v>0.02222222222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1">
        <v>118.0</v>
      </c>
      <c r="B18" s="4">
        <v>270.0</v>
      </c>
      <c r="C18" s="4">
        <v>57.0</v>
      </c>
      <c r="D18" s="4" t="s">
        <v>5</v>
      </c>
      <c r="E18" s="3">
        <f t="shared" si="1"/>
        <v>0.02259887006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1">
        <v>116.0</v>
      </c>
      <c r="B19" s="4">
        <v>265.0</v>
      </c>
      <c r="C19" s="4">
        <v>56.0</v>
      </c>
      <c r="D19" s="4" t="s">
        <v>5</v>
      </c>
      <c r="E19" s="3">
        <f t="shared" si="1"/>
        <v>0.02293719212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1">
        <v>114.0</v>
      </c>
      <c r="B20" s="4">
        <v>260.0</v>
      </c>
      <c r="C20" s="4">
        <v>55.0</v>
      </c>
      <c r="D20" s="4" t="s">
        <v>5</v>
      </c>
      <c r="E20" s="3">
        <f t="shared" si="1"/>
        <v>0.02328548644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1">
        <v>112.0</v>
      </c>
      <c r="B21" s="4">
        <v>255.0</v>
      </c>
      <c r="C21" s="4">
        <v>54.0</v>
      </c>
      <c r="D21" s="4" t="s">
        <v>5</v>
      </c>
      <c r="E21" s="3">
        <f t="shared" si="1"/>
        <v>0.02364417989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1">
        <v>110.0</v>
      </c>
      <c r="B22" s="4">
        <v>250.0</v>
      </c>
      <c r="C22" s="4">
        <v>53.0</v>
      </c>
      <c r="D22" s="4" t="s">
        <v>5</v>
      </c>
      <c r="E22" s="3">
        <f t="shared" si="1"/>
        <v>0.02401372213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1">
        <v>108.0</v>
      </c>
      <c r="B23" s="4">
        <v>245.0</v>
      </c>
      <c r="C23" s="4">
        <v>52.0</v>
      </c>
      <c r="D23" s="4" t="s">
        <v>5</v>
      </c>
      <c r="E23" s="3">
        <f t="shared" si="1"/>
        <v>0.02439458689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1">
        <v>106.0</v>
      </c>
      <c r="B24" s="4">
        <v>240.0</v>
      </c>
      <c r="C24" s="4">
        <v>51.0</v>
      </c>
      <c r="D24" s="4" t="s">
        <v>5</v>
      </c>
      <c r="E24" s="3">
        <f t="shared" si="1"/>
        <v>0.0247872734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1">
        <v>104.0</v>
      </c>
      <c r="B25" s="4">
        <v>235.0</v>
      </c>
      <c r="C25" s="4">
        <v>50.0</v>
      </c>
      <c r="D25" s="4" t="s">
        <v>5</v>
      </c>
      <c r="E25" s="3">
        <f t="shared" si="1"/>
        <v>0.02519230769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1">
        <v>102.0</v>
      </c>
      <c r="B26" s="4">
        <v>230.0</v>
      </c>
      <c r="C26" s="4">
        <v>49.0</v>
      </c>
      <c r="D26" s="4" t="s">
        <v>5</v>
      </c>
      <c r="E26" s="3">
        <f t="shared" si="1"/>
        <v>0.0256102441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1">
        <v>100.0</v>
      </c>
      <c r="B27" s="4">
        <v>225.0</v>
      </c>
      <c r="C27" s="4">
        <v>48.0</v>
      </c>
      <c r="D27" s="4" t="s">
        <v>5</v>
      </c>
      <c r="E27" s="3">
        <f t="shared" si="1"/>
        <v>0.02604166667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1">
        <v>98.0</v>
      </c>
      <c r="B28" s="4">
        <v>220.0</v>
      </c>
      <c r="C28" s="4">
        <v>47.0</v>
      </c>
      <c r="D28" s="4" t="s">
        <v>5</v>
      </c>
      <c r="E28" s="3">
        <f t="shared" si="1"/>
        <v>0.02648719062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1">
        <v>96.0</v>
      </c>
      <c r="B29" s="4">
        <v>215.0</v>
      </c>
      <c r="C29" s="4">
        <v>46.0</v>
      </c>
      <c r="D29" s="4" t="s">
        <v>5</v>
      </c>
      <c r="E29" s="3">
        <f t="shared" si="1"/>
        <v>0.02694746377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1">
        <v>94.0</v>
      </c>
      <c r="B30" s="4">
        <v>210.0</v>
      </c>
      <c r="C30" s="4">
        <v>45.0</v>
      </c>
      <c r="D30" s="4" t="s">
        <v>5</v>
      </c>
      <c r="E30" s="3">
        <f t="shared" si="1"/>
        <v>0.02742316785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1">
        <v>92.0</v>
      </c>
      <c r="B31" s="4">
        <v>205.0</v>
      </c>
      <c r="C31" s="4">
        <v>44.0</v>
      </c>
      <c r="D31" s="4" t="s">
        <v>5</v>
      </c>
      <c r="E31" s="3">
        <f t="shared" si="1"/>
        <v>0.02791501976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1">
        <v>90.0</v>
      </c>
      <c r="B32" s="4">
        <v>200.0</v>
      </c>
      <c r="C32" s="4">
        <v>43.0</v>
      </c>
      <c r="D32" s="4" t="s">
        <v>5</v>
      </c>
      <c r="E32" s="3">
        <f t="shared" si="1"/>
        <v>0.02842377261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1">
        <v>88.0</v>
      </c>
      <c r="B33" s="4">
        <v>195.0</v>
      </c>
      <c r="C33" s="4">
        <v>42.0</v>
      </c>
      <c r="D33" s="4" t="s">
        <v>5</v>
      </c>
      <c r="E33" s="3">
        <f t="shared" si="1"/>
        <v>0.02895021645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1">
        <v>86.0</v>
      </c>
      <c r="B34" s="4">
        <v>190.0</v>
      </c>
      <c r="C34" s="4">
        <v>41.0</v>
      </c>
      <c r="D34" s="4" t="s">
        <v>5</v>
      </c>
      <c r="E34" s="3">
        <f t="shared" si="1"/>
        <v>0.02949517867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1">
        <v>84.0</v>
      </c>
      <c r="B35" s="4">
        <v>185.0</v>
      </c>
      <c r="C35" s="4">
        <v>40.0</v>
      </c>
      <c r="D35" s="4" t="s">
        <v>5</v>
      </c>
      <c r="E35" s="3">
        <f t="shared" si="1"/>
        <v>0.03005952381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1">
        <v>82.0</v>
      </c>
      <c r="B36" s="4">
        <v>180.0</v>
      </c>
      <c r="C36" s="4">
        <v>39.0</v>
      </c>
      <c r="D36" s="4" t="s">
        <v>5</v>
      </c>
      <c r="E36" s="3">
        <f t="shared" si="1"/>
        <v>0.0306441526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1">
        <v>80.0</v>
      </c>
      <c r="B37" s="4">
        <v>175.0</v>
      </c>
      <c r="C37" s="4">
        <v>38.0</v>
      </c>
      <c r="D37" s="4" t="s">
        <v>5</v>
      </c>
      <c r="E37" s="3">
        <f t="shared" si="1"/>
        <v>0.03125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1">
        <v>78.0</v>
      </c>
      <c r="B38" s="4">
        <v>170.0</v>
      </c>
      <c r="C38" s="4">
        <v>37.0</v>
      </c>
      <c r="D38" s="4" t="s">
        <v>5</v>
      </c>
      <c r="E38" s="3">
        <f t="shared" si="1"/>
        <v>0.03187803188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1">
        <v>76.0</v>
      </c>
      <c r="B39" s="4">
        <v>165.0</v>
      </c>
      <c r="C39" s="4">
        <v>36.0</v>
      </c>
      <c r="D39" s="4" t="s">
        <v>5</v>
      </c>
      <c r="E39" s="3">
        <f t="shared" si="1"/>
        <v>0.03252923977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1">
        <v>74.0</v>
      </c>
      <c r="B40" s="4">
        <v>160.0</v>
      </c>
      <c r="C40" s="4">
        <v>35.0</v>
      </c>
      <c r="D40" s="4" t="s">
        <v>5</v>
      </c>
      <c r="E40" s="3">
        <f t="shared" si="1"/>
        <v>0.0332046332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1">
        <v>72.0</v>
      </c>
      <c r="B41" s="4">
        <v>155.0</v>
      </c>
      <c r="C41" s="4">
        <v>34.0</v>
      </c>
      <c r="D41" s="4" t="s">
        <v>5</v>
      </c>
      <c r="E41" s="3">
        <f t="shared" si="1"/>
        <v>0.03390522876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1">
        <v>70.0</v>
      </c>
      <c r="B42" s="4">
        <v>150.0</v>
      </c>
      <c r="C42" s="4">
        <v>33.0</v>
      </c>
      <c r="D42" s="4" t="s">
        <v>5</v>
      </c>
      <c r="E42" s="3">
        <f t="shared" si="1"/>
        <v>0.03463203463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1">
        <v>68.0</v>
      </c>
      <c r="B43" s="4">
        <v>145.0</v>
      </c>
      <c r="C43" s="4">
        <v>32.0</v>
      </c>
      <c r="D43" s="4" t="s">
        <v>5</v>
      </c>
      <c r="E43" s="3">
        <f t="shared" si="1"/>
        <v>0.03538602941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1">
        <v>28.0</v>
      </c>
      <c r="B44" s="4">
        <v>48.0</v>
      </c>
      <c r="C44" s="4">
        <v>20.0</v>
      </c>
      <c r="D44" s="4" t="s">
        <v>5</v>
      </c>
      <c r="E44" s="3">
        <f t="shared" si="1"/>
        <v>0.03571428571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1">
        <v>66.0</v>
      </c>
      <c r="B45" s="4">
        <v>140.0</v>
      </c>
      <c r="C45" s="4">
        <v>31.0</v>
      </c>
      <c r="D45" s="4" t="s">
        <v>5</v>
      </c>
      <c r="E45" s="3">
        <f t="shared" si="1"/>
        <v>0.03616813294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1">
        <v>64.0</v>
      </c>
      <c r="B46" s="4">
        <v>135.0</v>
      </c>
      <c r="C46" s="4">
        <v>30.0</v>
      </c>
      <c r="D46" s="4" t="s">
        <v>5</v>
      </c>
      <c r="E46" s="3">
        <f t="shared" si="1"/>
        <v>0.03697916667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1">
        <v>62.0</v>
      </c>
      <c r="B47" s="4">
        <v>130.0</v>
      </c>
      <c r="C47" s="4">
        <v>29.0</v>
      </c>
      <c r="D47" s="4" t="s">
        <v>5</v>
      </c>
      <c r="E47" s="3">
        <f t="shared" si="1"/>
        <v>0.03781979978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1">
        <v>60.0</v>
      </c>
      <c r="B48" s="4">
        <v>125.0</v>
      </c>
      <c r="C48" s="4">
        <v>28.0</v>
      </c>
      <c r="D48" s="4" t="s">
        <v>5</v>
      </c>
      <c r="E48" s="3">
        <f t="shared" si="1"/>
        <v>0.03869047619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1">
        <v>58.0</v>
      </c>
      <c r="B49" s="4">
        <v>120.0</v>
      </c>
      <c r="C49" s="4">
        <v>27.0</v>
      </c>
      <c r="D49" s="4" t="s">
        <v>5</v>
      </c>
      <c r="E49" s="3">
        <f t="shared" si="1"/>
        <v>0.03959131545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1">
        <v>56.0</v>
      </c>
      <c r="B50" s="4">
        <v>115.0</v>
      </c>
      <c r="C50" s="4">
        <v>26.0</v>
      </c>
      <c r="D50" s="4" t="s">
        <v>5</v>
      </c>
      <c r="E50" s="3">
        <f t="shared" si="1"/>
        <v>0.04052197802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1">
        <v>27.0</v>
      </c>
      <c r="B51" s="4">
        <v>50.0</v>
      </c>
      <c r="C51" s="4">
        <v>21.0</v>
      </c>
      <c r="D51" s="4" t="s">
        <v>5</v>
      </c>
      <c r="E51" s="3">
        <f t="shared" si="1"/>
        <v>0.0405643739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1">
        <v>54.0</v>
      </c>
      <c r="B52" s="4">
        <v>110.0</v>
      </c>
      <c r="C52" s="4">
        <v>25.0</v>
      </c>
      <c r="D52" s="4" t="s">
        <v>5</v>
      </c>
      <c r="E52" s="3">
        <f t="shared" si="1"/>
        <v>0.04148148148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1">
        <v>52.0</v>
      </c>
      <c r="B53" s="4">
        <v>105.0</v>
      </c>
      <c r="C53" s="4">
        <v>24.0</v>
      </c>
      <c r="D53" s="4" t="s">
        <v>5</v>
      </c>
      <c r="E53" s="3">
        <f t="shared" si="1"/>
        <v>0.04246794872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1">
        <v>50.0</v>
      </c>
      <c r="B54" s="4">
        <v>100.0</v>
      </c>
      <c r="C54" s="4">
        <v>23.0</v>
      </c>
      <c r="D54" s="4" t="s">
        <v>5</v>
      </c>
      <c r="E54" s="3">
        <f t="shared" si="1"/>
        <v>0.04347826087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1">
        <v>48.0</v>
      </c>
      <c r="B55" s="4">
        <v>96.0</v>
      </c>
      <c r="C55" s="4">
        <v>22.0</v>
      </c>
      <c r="D55" s="4" t="s">
        <v>5</v>
      </c>
      <c r="E55" s="3">
        <f t="shared" si="1"/>
        <v>0.04545454545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1">
        <v>46.0</v>
      </c>
      <c r="B56" s="4">
        <v>92.0</v>
      </c>
      <c r="C56" s="4">
        <v>21.0</v>
      </c>
      <c r="D56" s="4" t="s">
        <v>5</v>
      </c>
      <c r="E56" s="3">
        <f t="shared" si="1"/>
        <v>0.04761904762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1">
        <v>25.0</v>
      </c>
      <c r="B57" s="4">
        <v>45.0</v>
      </c>
      <c r="C57" s="4">
        <v>16.0</v>
      </c>
      <c r="D57" s="4" t="s">
        <v>5</v>
      </c>
      <c r="E57" s="3">
        <f t="shared" si="1"/>
        <v>0.05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1">
        <v>44.0</v>
      </c>
      <c r="B58" s="4">
        <v>88.0</v>
      </c>
      <c r="C58" s="4">
        <v>20.0</v>
      </c>
      <c r="D58" s="4" t="s">
        <v>5</v>
      </c>
      <c r="E58" s="3">
        <f t="shared" si="1"/>
        <v>0.05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1">
        <v>42.0</v>
      </c>
      <c r="B59" s="4">
        <v>84.0</v>
      </c>
      <c r="C59" s="4">
        <v>19.0</v>
      </c>
      <c r="D59" s="4" t="s">
        <v>5</v>
      </c>
      <c r="E59" s="3">
        <f t="shared" si="1"/>
        <v>0.05263157895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1">
        <v>40.0</v>
      </c>
      <c r="B60" s="4">
        <v>80.0</v>
      </c>
      <c r="C60" s="4">
        <v>18.0</v>
      </c>
      <c r="D60" s="4" t="s">
        <v>5</v>
      </c>
      <c r="E60" s="3">
        <f t="shared" si="1"/>
        <v>0.05555555556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1">
        <v>38.0</v>
      </c>
      <c r="B61" s="4">
        <v>76.0</v>
      </c>
      <c r="C61" s="4">
        <v>17.0</v>
      </c>
      <c r="D61" s="4" t="s">
        <v>5</v>
      </c>
      <c r="E61" s="3">
        <f t="shared" si="1"/>
        <v>0.05882352941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1">
        <v>36.0</v>
      </c>
      <c r="B62" s="4">
        <v>72.0</v>
      </c>
      <c r="C62" s="4">
        <v>16.0</v>
      </c>
      <c r="D62" s="4" t="s">
        <v>5</v>
      </c>
      <c r="E62" s="3">
        <f t="shared" si="1"/>
        <v>0.0625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1">
        <v>34.0</v>
      </c>
      <c r="B63" s="4">
        <v>68.0</v>
      </c>
      <c r="C63" s="4">
        <v>15.0</v>
      </c>
      <c r="D63" s="4" t="s">
        <v>5</v>
      </c>
      <c r="E63" s="3">
        <f t="shared" si="1"/>
        <v>0.06666666667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1">
        <v>32.0</v>
      </c>
      <c r="B64" s="4">
        <v>64.0</v>
      </c>
      <c r="C64" s="4">
        <v>14.0</v>
      </c>
      <c r="D64" s="4" t="s">
        <v>5</v>
      </c>
      <c r="E64" s="3">
        <f t="shared" si="1"/>
        <v>0.07142857143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1">
        <v>20.0</v>
      </c>
      <c r="B65" s="4">
        <v>38.0</v>
      </c>
      <c r="C65" s="4">
        <v>12.0</v>
      </c>
      <c r="D65" s="4" t="s">
        <v>5</v>
      </c>
      <c r="E65" s="3">
        <f t="shared" si="1"/>
        <v>0.075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1">
        <v>30.0</v>
      </c>
      <c r="B66" s="4">
        <v>60.0</v>
      </c>
      <c r="C66" s="4">
        <v>13.0</v>
      </c>
      <c r="D66" s="4" t="s">
        <v>5</v>
      </c>
      <c r="E66" s="3">
        <f t="shared" si="1"/>
        <v>0.07692307692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1">
        <v>18.0</v>
      </c>
      <c r="B67" s="4">
        <v>32.0</v>
      </c>
      <c r="C67" s="4">
        <v>9.0</v>
      </c>
      <c r="D67" s="4" t="s">
        <v>5</v>
      </c>
      <c r="E67" s="3">
        <f t="shared" si="1"/>
        <v>0.08641975309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1">
        <v>26.0</v>
      </c>
      <c r="B68" s="4">
        <v>52.0</v>
      </c>
      <c r="C68" s="4">
        <v>11.0</v>
      </c>
      <c r="D68" s="4" t="s">
        <v>5</v>
      </c>
      <c r="E68" s="3">
        <f t="shared" si="1"/>
        <v>0.09090909091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1">
        <v>24.0</v>
      </c>
      <c r="B69" s="4">
        <v>48.0</v>
      </c>
      <c r="C69" s="4">
        <v>10.0</v>
      </c>
      <c r="D69" s="4" t="s">
        <v>5</v>
      </c>
      <c r="E69" s="3">
        <f t="shared" si="1"/>
        <v>0.1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1">
        <v>15.0</v>
      </c>
      <c r="B70" s="4">
        <v>35.0</v>
      </c>
      <c r="C70" s="4">
        <v>13.0</v>
      </c>
      <c r="D70" s="4" t="s">
        <v>5</v>
      </c>
      <c r="E70" s="3">
        <f t="shared" si="1"/>
        <v>0.1025641026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1">
        <v>22.0</v>
      </c>
      <c r="B71" s="4">
        <v>44.0</v>
      </c>
      <c r="C71" s="4">
        <v>9.0</v>
      </c>
      <c r="D71" s="4" t="s">
        <v>5</v>
      </c>
      <c r="E71" s="3">
        <f t="shared" si="1"/>
        <v>0.1111111111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1">
        <v>20.0</v>
      </c>
      <c r="B72" s="4">
        <v>40.0</v>
      </c>
      <c r="C72" s="4">
        <v>8.0</v>
      </c>
      <c r="D72" s="4" t="s">
        <v>5</v>
      </c>
      <c r="E72" s="3">
        <f t="shared" si="1"/>
        <v>0.125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1">
        <v>18.0</v>
      </c>
      <c r="B73" s="4">
        <v>36.0</v>
      </c>
      <c r="C73" s="4">
        <v>7.0</v>
      </c>
      <c r="D73" s="4" t="s">
        <v>5</v>
      </c>
      <c r="E73" s="3">
        <f t="shared" si="1"/>
        <v>0.1428571429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1">
        <v>16.0</v>
      </c>
      <c r="B74" s="4">
        <v>32.0</v>
      </c>
      <c r="C74" s="4">
        <v>6.0</v>
      </c>
      <c r="D74" s="4" t="s">
        <v>5</v>
      </c>
      <c r="E74" s="3">
        <f t="shared" si="1"/>
        <v>0.1666666667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1">
        <v>14.0</v>
      </c>
      <c r="B75" s="4">
        <v>28.0</v>
      </c>
      <c r="C75" s="4">
        <v>5.0</v>
      </c>
      <c r="D75" s="4" t="s">
        <v>5</v>
      </c>
      <c r="E75" s="3">
        <f t="shared" si="1"/>
        <v>0.2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1">
        <v>12.0</v>
      </c>
      <c r="B76" s="4">
        <v>25.0</v>
      </c>
      <c r="C76" s="4">
        <v>5.0</v>
      </c>
      <c r="D76" s="4" t="s">
        <v>5</v>
      </c>
      <c r="E76" s="3">
        <f t="shared" si="1"/>
        <v>0.2166666667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1">
        <v>11.0</v>
      </c>
      <c r="B77" s="4">
        <v>30.0</v>
      </c>
      <c r="C77" s="4">
        <v>7.0</v>
      </c>
      <c r="D77" s="4" t="s">
        <v>5</v>
      </c>
      <c r="E77" s="3">
        <f t="shared" si="1"/>
        <v>0.2467532468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1">
        <v>12.0</v>
      </c>
      <c r="B78" s="4">
        <v>24.0</v>
      </c>
      <c r="C78" s="4">
        <v>4.0</v>
      </c>
      <c r="D78" s="4" t="s">
        <v>5</v>
      </c>
      <c r="E78" s="3">
        <f t="shared" si="1"/>
        <v>0.25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1">
        <v>10.0</v>
      </c>
      <c r="B79" s="4">
        <v>20.0</v>
      </c>
      <c r="C79" s="4">
        <v>3.0</v>
      </c>
      <c r="D79" s="4" t="s">
        <v>5</v>
      </c>
      <c r="E79" s="3">
        <f t="shared" si="1"/>
        <v>0.3333333333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1">
        <v>78.0</v>
      </c>
      <c r="B80" s="4">
        <v>80.0</v>
      </c>
      <c r="C80" s="4">
        <v>162.0</v>
      </c>
      <c r="D80" s="4" t="s">
        <v>6</v>
      </c>
      <c r="E80" s="3">
        <f t="shared" si="1"/>
        <v>0.0001582779361</v>
      </c>
      <c r="F80" s="5">
        <f>geomean(E79:E80)</f>
        <v>0.007263560561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1">
        <v>67.0</v>
      </c>
      <c r="B81" s="4">
        <v>75.0</v>
      </c>
      <c r="C81" s="4">
        <v>119.0</v>
      </c>
      <c r="D81" s="4" t="s">
        <v>6</v>
      </c>
      <c r="E81" s="3">
        <f t="shared" si="1"/>
        <v>0.001003386429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1">
        <v>49.0</v>
      </c>
      <c r="B82" s="4">
        <v>60.0</v>
      </c>
      <c r="C82" s="4">
        <v>89.0</v>
      </c>
      <c r="D82" s="4" t="s">
        <v>6</v>
      </c>
      <c r="E82" s="3">
        <f t="shared" si="1"/>
        <v>0.002522357258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1">
        <v>78.0</v>
      </c>
      <c r="B83" s="4">
        <v>105.0</v>
      </c>
      <c r="C83" s="4">
        <v>130.0</v>
      </c>
      <c r="D83" s="4" t="s">
        <v>6</v>
      </c>
      <c r="E83" s="3">
        <f t="shared" si="1"/>
        <v>0.002662721893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1">
        <v>74.0</v>
      </c>
      <c r="B84" s="4">
        <v>98.0</v>
      </c>
      <c r="C84" s="4">
        <v>120.0</v>
      </c>
      <c r="D84" s="4" t="s">
        <v>6</v>
      </c>
      <c r="E84" s="3">
        <f t="shared" si="1"/>
        <v>0.002702702703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1">
        <v>80.0</v>
      </c>
      <c r="B85" s="4">
        <v>110.0</v>
      </c>
      <c r="C85" s="4">
        <v>135.0</v>
      </c>
      <c r="D85" s="4" t="s">
        <v>6</v>
      </c>
      <c r="E85" s="3">
        <f t="shared" si="1"/>
        <v>0.002777777778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1">
        <v>82.0</v>
      </c>
      <c r="B86" s="4">
        <v>115.0</v>
      </c>
      <c r="C86" s="4">
        <v>140.0</v>
      </c>
      <c r="D86" s="4" t="s">
        <v>6</v>
      </c>
      <c r="E86" s="3">
        <f t="shared" si="1"/>
        <v>0.00287456446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1">
        <v>72.0</v>
      </c>
      <c r="B87" s="4">
        <v>96.0</v>
      </c>
      <c r="C87" s="4">
        <v>115.0</v>
      </c>
      <c r="D87" s="4" t="s">
        <v>6</v>
      </c>
      <c r="E87" s="3">
        <f t="shared" si="1"/>
        <v>0.002898550725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1">
        <v>88.0</v>
      </c>
      <c r="B88" s="4">
        <v>130.0</v>
      </c>
      <c r="C88" s="4">
        <v>155.0</v>
      </c>
      <c r="D88" s="4" t="s">
        <v>6</v>
      </c>
      <c r="E88" s="3">
        <f t="shared" si="1"/>
        <v>0.003079178886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1">
        <v>70.0</v>
      </c>
      <c r="B89" s="4">
        <v>94.0</v>
      </c>
      <c r="C89" s="4">
        <v>110.0</v>
      </c>
      <c r="D89" s="4" t="s">
        <v>6</v>
      </c>
      <c r="E89" s="3">
        <f t="shared" si="1"/>
        <v>0.003116883117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1">
        <v>92.0</v>
      </c>
      <c r="B90" s="4">
        <v>140.0</v>
      </c>
      <c r="C90" s="4">
        <v>165.0</v>
      </c>
      <c r="D90" s="4" t="s">
        <v>6</v>
      </c>
      <c r="E90" s="3">
        <f t="shared" si="1"/>
        <v>0.003162055336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1">
        <v>64.0</v>
      </c>
      <c r="B91" s="4">
        <v>88.0</v>
      </c>
      <c r="C91" s="4">
        <v>95.0</v>
      </c>
      <c r="D91" s="4" t="s">
        <v>6</v>
      </c>
      <c r="E91" s="3">
        <f t="shared" si="1"/>
        <v>0.003947368421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1">
        <v>62.0</v>
      </c>
      <c r="B92" s="4">
        <v>86.0</v>
      </c>
      <c r="C92" s="4">
        <v>90.0</v>
      </c>
      <c r="D92" s="4" t="s">
        <v>6</v>
      </c>
      <c r="E92" s="3">
        <f t="shared" si="1"/>
        <v>0.004301075269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1">
        <v>60.0</v>
      </c>
      <c r="B93" s="4">
        <v>84.0</v>
      </c>
      <c r="C93" s="4">
        <v>85.0</v>
      </c>
      <c r="D93" s="4" t="s">
        <v>6</v>
      </c>
      <c r="E93" s="3">
        <f t="shared" si="1"/>
        <v>0.004705882353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1">
        <v>40.0</v>
      </c>
      <c r="B94" s="4">
        <v>55.0</v>
      </c>
      <c r="C94" s="4">
        <v>62.0</v>
      </c>
      <c r="D94" s="4" t="s">
        <v>6</v>
      </c>
      <c r="E94" s="3">
        <f t="shared" si="1"/>
        <v>0.006048387097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1">
        <v>53.0</v>
      </c>
      <c r="B95" s="4">
        <v>78.0</v>
      </c>
      <c r="C95" s="4">
        <v>70.0</v>
      </c>
      <c r="D95" s="4" t="s">
        <v>6</v>
      </c>
      <c r="E95" s="3">
        <f t="shared" si="1"/>
        <v>0.006738544474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1">
        <v>50.0</v>
      </c>
      <c r="B96" s="4">
        <v>76.0</v>
      </c>
      <c r="C96" s="4">
        <v>65.0</v>
      </c>
      <c r="D96" s="4" t="s">
        <v>6</v>
      </c>
      <c r="E96" s="3">
        <f t="shared" si="1"/>
        <v>0.008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1">
        <v>45.0</v>
      </c>
      <c r="B97" s="4">
        <v>72.0</v>
      </c>
      <c r="C97" s="4">
        <v>55.0</v>
      </c>
      <c r="D97" s="4" t="s">
        <v>6</v>
      </c>
      <c r="E97" s="3">
        <f t="shared" si="1"/>
        <v>0.01090909091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1">
        <v>42.0</v>
      </c>
      <c r="B98" s="4">
        <v>70.0</v>
      </c>
      <c r="C98" s="4">
        <v>50.0</v>
      </c>
      <c r="D98" s="4" t="s">
        <v>6</v>
      </c>
      <c r="E98" s="3">
        <f t="shared" si="1"/>
        <v>0.01333333333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1">
        <v>35.0</v>
      </c>
      <c r="B99" s="4">
        <v>60.0</v>
      </c>
      <c r="C99" s="4">
        <v>35.0</v>
      </c>
      <c r="D99" s="4" t="s">
        <v>6</v>
      </c>
      <c r="E99" s="3">
        <f t="shared" si="1"/>
        <v>0.02040816327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1">
        <v>30.0</v>
      </c>
      <c r="B100" s="4">
        <v>52.0</v>
      </c>
      <c r="C100" s="4">
        <v>25.0</v>
      </c>
      <c r="D100" s="4" t="s">
        <v>6</v>
      </c>
      <c r="E100" s="3">
        <f t="shared" si="1"/>
        <v>0.02933333333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1">
        <v>28.0</v>
      </c>
      <c r="B101" s="4">
        <v>56.0</v>
      </c>
      <c r="C101" s="4">
        <v>12.0</v>
      </c>
      <c r="D101" s="4" t="s">
        <v>6</v>
      </c>
      <c r="E101" s="3">
        <f t="shared" si="1"/>
        <v>0.08333333333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autoFilter ref="$A$1:$W$1000">
    <sortState ref="A1:W1000">
      <sortCondition ref="D1:D1000"/>
      <sortCondition ref="E1:E1000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5.0"/>
    <col customWidth="1" min="4" max="4" width="15.38"/>
    <col customWidth="1" min="5" max="5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1">
        <v>82.0</v>
      </c>
      <c r="B2" s="4">
        <v>115.0</v>
      </c>
      <c r="C2" s="4">
        <v>140.0</v>
      </c>
      <c r="D2" s="4" t="s">
        <v>5</v>
      </c>
      <c r="E2" s="3">
        <f t="shared" ref="E2:E101" si="1">((B2/A2)-1)/C2</f>
        <v>0.00287456446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1">
        <v>90.0</v>
      </c>
      <c r="B3" s="4">
        <v>135.0</v>
      </c>
      <c r="C3" s="4">
        <v>160.0</v>
      </c>
      <c r="D3" s="4" t="s">
        <v>5</v>
      </c>
      <c r="E3" s="3">
        <f t="shared" si="1"/>
        <v>0.003125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1">
        <v>92.0</v>
      </c>
      <c r="B4" s="4">
        <v>140.0</v>
      </c>
      <c r="C4" s="4">
        <v>165.0</v>
      </c>
      <c r="D4" s="4" t="s">
        <v>5</v>
      </c>
      <c r="E4" s="3">
        <f t="shared" si="1"/>
        <v>0.003162055336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1">
        <v>68.0</v>
      </c>
      <c r="B5" s="4">
        <v>92.0</v>
      </c>
      <c r="C5" s="4">
        <v>105.0</v>
      </c>
      <c r="D5" s="4" t="s">
        <v>5</v>
      </c>
      <c r="E5" s="3">
        <f t="shared" si="1"/>
        <v>0.003361344538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1">
        <v>50.0</v>
      </c>
      <c r="B6" s="4">
        <v>76.0</v>
      </c>
      <c r="C6" s="4">
        <v>65.0</v>
      </c>
      <c r="D6" s="4" t="s">
        <v>5</v>
      </c>
      <c r="E6" s="3">
        <f t="shared" si="1"/>
        <v>0.008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1">
        <v>37.0</v>
      </c>
      <c r="B7" s="4">
        <v>65.0</v>
      </c>
      <c r="C7" s="4">
        <v>40.0</v>
      </c>
      <c r="D7" s="4" t="s">
        <v>5</v>
      </c>
      <c r="E7" s="3">
        <f t="shared" si="1"/>
        <v>0.01891891892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1">
        <v>33.0</v>
      </c>
      <c r="B8" s="4">
        <v>55.0</v>
      </c>
      <c r="C8" s="4">
        <v>30.0</v>
      </c>
      <c r="D8" s="4" t="s">
        <v>5</v>
      </c>
      <c r="E8" s="3">
        <f t="shared" si="1"/>
        <v>0.02222222222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1">
        <v>118.0</v>
      </c>
      <c r="B9" s="4">
        <v>270.0</v>
      </c>
      <c r="C9" s="4">
        <v>57.0</v>
      </c>
      <c r="D9" s="4" t="s">
        <v>5</v>
      </c>
      <c r="E9" s="3">
        <f t="shared" si="1"/>
        <v>0.02259887006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1">
        <v>116.0</v>
      </c>
      <c r="B10" s="4">
        <v>265.0</v>
      </c>
      <c r="C10" s="4">
        <v>56.0</v>
      </c>
      <c r="D10" s="4" t="s">
        <v>5</v>
      </c>
      <c r="E10" s="3">
        <f t="shared" si="1"/>
        <v>0.02293719212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1">
        <v>114.0</v>
      </c>
      <c r="B11" s="4">
        <v>260.0</v>
      </c>
      <c r="C11" s="4">
        <v>55.0</v>
      </c>
      <c r="D11" s="4" t="s">
        <v>5</v>
      </c>
      <c r="E11" s="3">
        <f t="shared" si="1"/>
        <v>0.02328548644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1">
        <v>110.0</v>
      </c>
      <c r="B12" s="4">
        <v>250.0</v>
      </c>
      <c r="C12" s="4">
        <v>53.0</v>
      </c>
      <c r="D12" s="4" t="s">
        <v>5</v>
      </c>
      <c r="E12" s="3">
        <f t="shared" si="1"/>
        <v>0.02401372213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1">
        <v>108.0</v>
      </c>
      <c r="B13" s="4">
        <v>245.0</v>
      </c>
      <c r="C13" s="4">
        <v>52.0</v>
      </c>
      <c r="D13" s="4" t="s">
        <v>5</v>
      </c>
      <c r="E13" s="3">
        <f t="shared" si="1"/>
        <v>0.02439458689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1">
        <v>106.0</v>
      </c>
      <c r="B14" s="4">
        <v>240.0</v>
      </c>
      <c r="C14" s="4">
        <v>51.0</v>
      </c>
      <c r="D14" s="4" t="s">
        <v>5</v>
      </c>
      <c r="E14" s="3">
        <f t="shared" si="1"/>
        <v>0.0247872734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1">
        <v>104.0</v>
      </c>
      <c r="B15" s="4">
        <v>235.0</v>
      </c>
      <c r="C15" s="4">
        <v>50.0</v>
      </c>
      <c r="D15" s="4" t="s">
        <v>5</v>
      </c>
      <c r="E15" s="3">
        <f t="shared" si="1"/>
        <v>0.02519230769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1">
        <v>102.0</v>
      </c>
      <c r="B16" s="4">
        <v>230.0</v>
      </c>
      <c r="C16" s="4">
        <v>49.0</v>
      </c>
      <c r="D16" s="4" t="s">
        <v>5</v>
      </c>
      <c r="E16" s="3">
        <f t="shared" si="1"/>
        <v>0.0256102441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1">
        <v>100.0</v>
      </c>
      <c r="B17" s="4">
        <v>225.0</v>
      </c>
      <c r="C17" s="4">
        <v>48.0</v>
      </c>
      <c r="D17" s="4" t="s">
        <v>5</v>
      </c>
      <c r="E17" s="3">
        <f t="shared" si="1"/>
        <v>0.02604166667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1">
        <v>98.0</v>
      </c>
      <c r="B18" s="4">
        <v>220.0</v>
      </c>
      <c r="C18" s="4">
        <v>47.0</v>
      </c>
      <c r="D18" s="4" t="s">
        <v>5</v>
      </c>
      <c r="E18" s="3">
        <f t="shared" si="1"/>
        <v>0.02648719062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1">
        <v>96.0</v>
      </c>
      <c r="B19" s="4">
        <v>215.0</v>
      </c>
      <c r="C19" s="4">
        <v>46.0</v>
      </c>
      <c r="D19" s="4" t="s">
        <v>5</v>
      </c>
      <c r="E19" s="3">
        <f t="shared" si="1"/>
        <v>0.02694746377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1">
        <v>94.0</v>
      </c>
      <c r="B20" s="4">
        <v>210.0</v>
      </c>
      <c r="C20" s="4">
        <v>45.0</v>
      </c>
      <c r="D20" s="4" t="s">
        <v>5</v>
      </c>
      <c r="E20" s="3">
        <f t="shared" si="1"/>
        <v>0.02742316785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1">
        <v>92.0</v>
      </c>
      <c r="B21" s="4">
        <v>205.0</v>
      </c>
      <c r="C21" s="4">
        <v>44.0</v>
      </c>
      <c r="D21" s="4" t="s">
        <v>5</v>
      </c>
      <c r="E21" s="3">
        <f t="shared" si="1"/>
        <v>0.02791501976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1">
        <v>90.0</v>
      </c>
      <c r="B22" s="4">
        <v>200.0</v>
      </c>
      <c r="C22" s="4">
        <v>43.0</v>
      </c>
      <c r="D22" s="4" t="s">
        <v>5</v>
      </c>
      <c r="E22" s="3">
        <f t="shared" si="1"/>
        <v>0.02842377261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1">
        <v>86.0</v>
      </c>
      <c r="B23" s="4">
        <v>190.0</v>
      </c>
      <c r="C23" s="4">
        <v>41.0</v>
      </c>
      <c r="D23" s="4" t="s">
        <v>5</v>
      </c>
      <c r="E23" s="3">
        <f t="shared" si="1"/>
        <v>0.02949517867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1">
        <v>84.0</v>
      </c>
      <c r="B24" s="4">
        <v>185.0</v>
      </c>
      <c r="C24" s="4">
        <v>40.0</v>
      </c>
      <c r="D24" s="4" t="s">
        <v>5</v>
      </c>
      <c r="E24" s="3">
        <f t="shared" si="1"/>
        <v>0.03005952381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1">
        <v>80.0</v>
      </c>
      <c r="B25" s="4">
        <v>175.0</v>
      </c>
      <c r="C25" s="4">
        <v>38.0</v>
      </c>
      <c r="D25" s="4" t="s">
        <v>5</v>
      </c>
      <c r="E25" s="3">
        <f t="shared" si="1"/>
        <v>0.03125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1">
        <v>78.0</v>
      </c>
      <c r="B26" s="4">
        <v>170.0</v>
      </c>
      <c r="C26" s="4">
        <v>37.0</v>
      </c>
      <c r="D26" s="4" t="s">
        <v>5</v>
      </c>
      <c r="E26" s="3">
        <f t="shared" si="1"/>
        <v>0.03187803188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1">
        <v>76.0</v>
      </c>
      <c r="B27" s="4">
        <v>165.0</v>
      </c>
      <c r="C27" s="4">
        <v>36.0</v>
      </c>
      <c r="D27" s="4" t="s">
        <v>5</v>
      </c>
      <c r="E27" s="3">
        <f t="shared" si="1"/>
        <v>0.03252923977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1">
        <v>70.0</v>
      </c>
      <c r="B28" s="4">
        <v>150.0</v>
      </c>
      <c r="C28" s="4">
        <v>33.0</v>
      </c>
      <c r="D28" s="4" t="s">
        <v>5</v>
      </c>
      <c r="E28" s="3">
        <f t="shared" si="1"/>
        <v>0.03463203463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1">
        <v>64.0</v>
      </c>
      <c r="B29" s="4">
        <v>135.0</v>
      </c>
      <c r="C29" s="4">
        <v>30.0</v>
      </c>
      <c r="D29" s="4" t="s">
        <v>5</v>
      </c>
      <c r="E29" s="3">
        <f t="shared" si="1"/>
        <v>0.03697916667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1">
        <v>60.0</v>
      </c>
      <c r="B30" s="4">
        <v>125.0</v>
      </c>
      <c r="C30" s="4">
        <v>28.0</v>
      </c>
      <c r="D30" s="4" t="s">
        <v>5</v>
      </c>
      <c r="E30" s="3">
        <f t="shared" si="1"/>
        <v>0.03869047619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1">
        <v>56.0</v>
      </c>
      <c r="B31" s="4">
        <v>115.0</v>
      </c>
      <c r="C31" s="4">
        <v>26.0</v>
      </c>
      <c r="D31" s="4" t="s">
        <v>5</v>
      </c>
      <c r="E31" s="3">
        <f t="shared" si="1"/>
        <v>0.04052197802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1">
        <v>54.0</v>
      </c>
      <c r="B32" s="4">
        <v>110.0</v>
      </c>
      <c r="C32" s="4">
        <v>25.0</v>
      </c>
      <c r="D32" s="4" t="s">
        <v>5</v>
      </c>
      <c r="E32" s="3">
        <f t="shared" si="1"/>
        <v>0.04148148148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1">
        <v>52.0</v>
      </c>
      <c r="B33" s="4">
        <v>105.0</v>
      </c>
      <c r="C33" s="4">
        <v>24.0</v>
      </c>
      <c r="D33" s="4" t="s">
        <v>5</v>
      </c>
      <c r="E33" s="3">
        <f t="shared" si="1"/>
        <v>0.04246794872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1">
        <v>50.0</v>
      </c>
      <c r="B34" s="4">
        <v>100.0</v>
      </c>
      <c r="C34" s="4">
        <v>23.0</v>
      </c>
      <c r="D34" s="4" t="s">
        <v>5</v>
      </c>
      <c r="E34" s="3">
        <f t="shared" si="1"/>
        <v>0.04347826087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1">
        <v>30.0</v>
      </c>
      <c r="B35" s="4">
        <v>60.0</v>
      </c>
      <c r="C35" s="4">
        <v>13.0</v>
      </c>
      <c r="D35" s="4" t="s">
        <v>5</v>
      </c>
      <c r="E35" s="3">
        <f t="shared" si="1"/>
        <v>0.07692307692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1">
        <v>12.0</v>
      </c>
      <c r="B36" s="4">
        <v>25.0</v>
      </c>
      <c r="C36" s="4">
        <v>5.0</v>
      </c>
      <c r="D36" s="4" t="s">
        <v>5</v>
      </c>
      <c r="E36" s="3">
        <f t="shared" si="1"/>
        <v>0.2166666667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1">
        <v>78.0</v>
      </c>
      <c r="B37" s="4">
        <v>80.0</v>
      </c>
      <c r="C37" s="4">
        <v>162.0</v>
      </c>
      <c r="D37" s="4" t="s">
        <v>6</v>
      </c>
      <c r="E37" s="3">
        <f t="shared" si="1"/>
        <v>0.0001582779361</v>
      </c>
      <c r="F37" s="5">
        <f>geomean(E36:E37)</f>
        <v>0.005856069741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1">
        <v>67.0</v>
      </c>
      <c r="B38" s="4">
        <v>75.0</v>
      </c>
      <c r="C38" s="4">
        <v>119.0</v>
      </c>
      <c r="D38" s="4" t="s">
        <v>6</v>
      </c>
      <c r="E38" s="3">
        <f t="shared" si="1"/>
        <v>0.001003386429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1">
        <v>49.0</v>
      </c>
      <c r="B39" s="4">
        <v>60.0</v>
      </c>
      <c r="C39" s="4">
        <v>89.0</v>
      </c>
      <c r="D39" s="4" t="s">
        <v>6</v>
      </c>
      <c r="E39" s="3">
        <f t="shared" si="1"/>
        <v>0.002522357258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1">
        <v>76.0</v>
      </c>
      <c r="B40" s="4">
        <v>100.0</v>
      </c>
      <c r="C40" s="4">
        <v>125.0</v>
      </c>
      <c r="D40" s="4" t="s">
        <v>6</v>
      </c>
      <c r="E40" s="3">
        <f t="shared" si="1"/>
        <v>0.002526315789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1">
        <v>78.0</v>
      </c>
      <c r="B41" s="4">
        <v>105.0</v>
      </c>
      <c r="C41" s="4">
        <v>130.0</v>
      </c>
      <c r="D41" s="4" t="s">
        <v>6</v>
      </c>
      <c r="E41" s="3">
        <f t="shared" si="1"/>
        <v>0.002662721893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1">
        <v>74.0</v>
      </c>
      <c r="B42" s="4">
        <v>98.0</v>
      </c>
      <c r="C42" s="4">
        <v>120.0</v>
      </c>
      <c r="D42" s="4" t="s">
        <v>6</v>
      </c>
      <c r="E42" s="3">
        <f t="shared" si="1"/>
        <v>0.002702702703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1">
        <v>80.0</v>
      </c>
      <c r="B43" s="4">
        <v>110.0</v>
      </c>
      <c r="C43" s="4">
        <v>135.0</v>
      </c>
      <c r="D43" s="4" t="s">
        <v>6</v>
      </c>
      <c r="E43" s="3">
        <f t="shared" si="1"/>
        <v>0.002777777778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1">
        <v>72.0</v>
      </c>
      <c r="B44" s="4">
        <v>96.0</v>
      </c>
      <c r="C44" s="4">
        <v>115.0</v>
      </c>
      <c r="D44" s="4" t="s">
        <v>6</v>
      </c>
      <c r="E44" s="3">
        <f t="shared" si="1"/>
        <v>0.002898550725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1">
        <v>84.0</v>
      </c>
      <c r="B45" s="4">
        <v>120.0</v>
      </c>
      <c r="C45" s="4">
        <v>145.0</v>
      </c>
      <c r="D45" s="4" t="s">
        <v>6</v>
      </c>
      <c r="E45" s="3">
        <f t="shared" si="1"/>
        <v>0.002955665025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1">
        <v>86.0</v>
      </c>
      <c r="B46" s="4">
        <v>125.0</v>
      </c>
      <c r="C46" s="4">
        <v>150.0</v>
      </c>
      <c r="D46" s="4" t="s">
        <v>6</v>
      </c>
      <c r="E46" s="3">
        <f t="shared" si="1"/>
        <v>0.003023255814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1">
        <v>88.0</v>
      </c>
      <c r="B47" s="4">
        <v>130.0</v>
      </c>
      <c r="C47" s="4">
        <v>155.0</v>
      </c>
      <c r="D47" s="4" t="s">
        <v>6</v>
      </c>
      <c r="E47" s="3">
        <f t="shared" si="1"/>
        <v>0.003079178886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1">
        <v>70.0</v>
      </c>
      <c r="B48" s="4">
        <v>94.0</v>
      </c>
      <c r="C48" s="4">
        <v>110.0</v>
      </c>
      <c r="D48" s="4" t="s">
        <v>6</v>
      </c>
      <c r="E48" s="3">
        <f t="shared" si="1"/>
        <v>0.003116883117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1">
        <v>94.0</v>
      </c>
      <c r="B49" s="4">
        <v>145.0</v>
      </c>
      <c r="C49" s="4">
        <v>170.0</v>
      </c>
      <c r="D49" s="4" t="s">
        <v>6</v>
      </c>
      <c r="E49" s="3">
        <f t="shared" si="1"/>
        <v>0.003191489362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1">
        <v>96.0</v>
      </c>
      <c r="B50" s="4">
        <v>150.0</v>
      </c>
      <c r="C50" s="4">
        <v>175.0</v>
      </c>
      <c r="D50" s="4" t="s">
        <v>6</v>
      </c>
      <c r="E50" s="3">
        <f t="shared" si="1"/>
        <v>0.003214285714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1">
        <v>98.0</v>
      </c>
      <c r="B51" s="4">
        <v>155.0</v>
      </c>
      <c r="C51" s="4">
        <v>180.0</v>
      </c>
      <c r="D51" s="4" t="s">
        <v>6</v>
      </c>
      <c r="E51" s="3">
        <f t="shared" si="1"/>
        <v>0.003231292517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1">
        <v>100.0</v>
      </c>
      <c r="B52" s="4">
        <v>160.0</v>
      </c>
      <c r="C52" s="4">
        <v>185.0</v>
      </c>
      <c r="D52" s="4" t="s">
        <v>6</v>
      </c>
      <c r="E52" s="3">
        <f t="shared" si="1"/>
        <v>0.003243243243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1">
        <v>66.0</v>
      </c>
      <c r="B53" s="4">
        <v>90.0</v>
      </c>
      <c r="C53" s="4">
        <v>100.0</v>
      </c>
      <c r="D53" s="4" t="s">
        <v>6</v>
      </c>
      <c r="E53" s="3">
        <f t="shared" si="1"/>
        <v>0.003636363636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1">
        <v>64.0</v>
      </c>
      <c r="B54" s="4">
        <v>88.0</v>
      </c>
      <c r="C54" s="4">
        <v>95.0</v>
      </c>
      <c r="D54" s="4" t="s">
        <v>6</v>
      </c>
      <c r="E54" s="3">
        <f t="shared" si="1"/>
        <v>0.003947368421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1">
        <v>62.0</v>
      </c>
      <c r="B55" s="4">
        <v>86.0</v>
      </c>
      <c r="C55" s="4">
        <v>90.0</v>
      </c>
      <c r="D55" s="4" t="s">
        <v>6</v>
      </c>
      <c r="E55" s="3">
        <f t="shared" si="1"/>
        <v>0.004301075269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1">
        <v>60.0</v>
      </c>
      <c r="B56" s="4">
        <v>84.0</v>
      </c>
      <c r="C56" s="4">
        <v>85.0</v>
      </c>
      <c r="D56" s="4" t="s">
        <v>6</v>
      </c>
      <c r="E56" s="3">
        <f t="shared" si="1"/>
        <v>0.004705882353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1">
        <v>58.0</v>
      </c>
      <c r="B57" s="4">
        <v>82.0</v>
      </c>
      <c r="C57" s="4">
        <v>80.0</v>
      </c>
      <c r="D57" s="4" t="s">
        <v>6</v>
      </c>
      <c r="E57" s="3">
        <f t="shared" si="1"/>
        <v>0.005172413793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1">
        <v>40.0</v>
      </c>
      <c r="B58" s="4">
        <v>55.0</v>
      </c>
      <c r="C58" s="4">
        <v>62.0</v>
      </c>
      <c r="D58" s="4" t="s">
        <v>6</v>
      </c>
      <c r="E58" s="3">
        <f t="shared" si="1"/>
        <v>0.006048387097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1">
        <v>55.0</v>
      </c>
      <c r="B59" s="4">
        <v>80.0</v>
      </c>
      <c r="C59" s="4">
        <v>75.0</v>
      </c>
      <c r="D59" s="4" t="s">
        <v>6</v>
      </c>
      <c r="E59" s="3">
        <f t="shared" si="1"/>
        <v>0.006060606061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1">
        <v>53.0</v>
      </c>
      <c r="B60" s="4">
        <v>78.0</v>
      </c>
      <c r="C60" s="4">
        <v>70.0</v>
      </c>
      <c r="D60" s="4" t="s">
        <v>6</v>
      </c>
      <c r="E60" s="3">
        <f t="shared" si="1"/>
        <v>0.006738544474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1">
        <v>47.0</v>
      </c>
      <c r="B61" s="4">
        <v>74.0</v>
      </c>
      <c r="C61" s="4">
        <v>60.0</v>
      </c>
      <c r="D61" s="4" t="s">
        <v>6</v>
      </c>
      <c r="E61" s="3">
        <f t="shared" si="1"/>
        <v>0.009574468085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1">
        <v>45.0</v>
      </c>
      <c r="B62" s="4">
        <v>72.0</v>
      </c>
      <c r="C62" s="4">
        <v>55.0</v>
      </c>
      <c r="D62" s="4" t="s">
        <v>6</v>
      </c>
      <c r="E62" s="3">
        <f t="shared" si="1"/>
        <v>0.01090909091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1">
        <v>42.0</v>
      </c>
      <c r="B63" s="4">
        <v>70.0</v>
      </c>
      <c r="C63" s="4">
        <v>50.0</v>
      </c>
      <c r="D63" s="4" t="s">
        <v>6</v>
      </c>
      <c r="E63" s="3">
        <f t="shared" si="1"/>
        <v>0.01333333333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1">
        <v>39.0</v>
      </c>
      <c r="B64" s="4">
        <v>68.0</v>
      </c>
      <c r="C64" s="4">
        <v>45.0</v>
      </c>
      <c r="D64" s="4" t="s">
        <v>6</v>
      </c>
      <c r="E64" s="3">
        <f t="shared" si="1"/>
        <v>0.01652421652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1">
        <v>35.0</v>
      </c>
      <c r="B65" s="4">
        <v>60.0</v>
      </c>
      <c r="C65" s="4">
        <v>35.0</v>
      </c>
      <c r="D65" s="4" t="s">
        <v>6</v>
      </c>
      <c r="E65" s="3">
        <f t="shared" si="1"/>
        <v>0.02040816327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1">
        <v>112.0</v>
      </c>
      <c r="B66" s="4">
        <v>255.0</v>
      </c>
      <c r="C66" s="4">
        <v>54.0</v>
      </c>
      <c r="D66" s="4" t="s">
        <v>6</v>
      </c>
      <c r="E66" s="3">
        <f t="shared" si="1"/>
        <v>0.02364417989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1">
        <v>88.0</v>
      </c>
      <c r="B67" s="4">
        <v>195.0</v>
      </c>
      <c r="C67" s="4">
        <v>42.0</v>
      </c>
      <c r="D67" s="4" t="s">
        <v>6</v>
      </c>
      <c r="E67" s="3">
        <f t="shared" si="1"/>
        <v>0.02895021645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1">
        <v>30.0</v>
      </c>
      <c r="B68" s="4">
        <v>52.0</v>
      </c>
      <c r="C68" s="4">
        <v>25.0</v>
      </c>
      <c r="D68" s="4" t="s">
        <v>6</v>
      </c>
      <c r="E68" s="3">
        <f t="shared" si="1"/>
        <v>0.02933333333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1">
        <v>82.0</v>
      </c>
      <c r="B69" s="4">
        <v>180.0</v>
      </c>
      <c r="C69" s="4">
        <v>39.0</v>
      </c>
      <c r="D69" s="4" t="s">
        <v>6</v>
      </c>
      <c r="E69" s="3">
        <f t="shared" si="1"/>
        <v>0.0306441526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1">
        <v>74.0</v>
      </c>
      <c r="B70" s="4">
        <v>160.0</v>
      </c>
      <c r="C70" s="4">
        <v>35.0</v>
      </c>
      <c r="D70" s="4" t="s">
        <v>6</v>
      </c>
      <c r="E70" s="3">
        <f t="shared" si="1"/>
        <v>0.0332046332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1">
        <v>72.0</v>
      </c>
      <c r="B71" s="4">
        <v>155.0</v>
      </c>
      <c r="C71" s="4">
        <v>34.0</v>
      </c>
      <c r="D71" s="4" t="s">
        <v>6</v>
      </c>
      <c r="E71" s="3">
        <f t="shared" si="1"/>
        <v>0.03390522876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1">
        <v>68.0</v>
      </c>
      <c r="B72" s="4">
        <v>145.0</v>
      </c>
      <c r="C72" s="4">
        <v>32.0</v>
      </c>
      <c r="D72" s="4" t="s">
        <v>6</v>
      </c>
      <c r="E72" s="3">
        <f t="shared" si="1"/>
        <v>0.03538602941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1">
        <v>28.0</v>
      </c>
      <c r="B73" s="4">
        <v>48.0</v>
      </c>
      <c r="C73" s="4">
        <v>20.0</v>
      </c>
      <c r="D73" s="4" t="s">
        <v>6</v>
      </c>
      <c r="E73" s="3">
        <f t="shared" si="1"/>
        <v>0.03571428571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1">
        <v>66.0</v>
      </c>
      <c r="B74" s="4">
        <v>140.0</v>
      </c>
      <c r="C74" s="4">
        <v>31.0</v>
      </c>
      <c r="D74" s="4" t="s">
        <v>6</v>
      </c>
      <c r="E74" s="3">
        <f t="shared" si="1"/>
        <v>0.03616813294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1">
        <v>62.0</v>
      </c>
      <c r="B75" s="4">
        <v>130.0</v>
      </c>
      <c r="C75" s="4">
        <v>29.0</v>
      </c>
      <c r="D75" s="4" t="s">
        <v>6</v>
      </c>
      <c r="E75" s="3">
        <f t="shared" si="1"/>
        <v>0.03781979978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1">
        <v>58.0</v>
      </c>
      <c r="B76" s="4">
        <v>120.0</v>
      </c>
      <c r="C76" s="4">
        <v>27.0</v>
      </c>
      <c r="D76" s="4" t="s">
        <v>6</v>
      </c>
      <c r="E76" s="3">
        <f t="shared" si="1"/>
        <v>0.03959131545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1">
        <v>27.0</v>
      </c>
      <c r="B77" s="4">
        <v>50.0</v>
      </c>
      <c r="C77" s="4">
        <v>21.0</v>
      </c>
      <c r="D77" s="4" t="s">
        <v>6</v>
      </c>
      <c r="E77" s="3">
        <f t="shared" si="1"/>
        <v>0.0405643739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1">
        <v>48.0</v>
      </c>
      <c r="B78" s="4">
        <v>96.0</v>
      </c>
      <c r="C78" s="4">
        <v>22.0</v>
      </c>
      <c r="D78" s="4" t="s">
        <v>6</v>
      </c>
      <c r="E78" s="3">
        <f t="shared" si="1"/>
        <v>0.04545454545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1">
        <v>46.0</v>
      </c>
      <c r="B79" s="4">
        <v>92.0</v>
      </c>
      <c r="C79" s="4">
        <v>21.0</v>
      </c>
      <c r="D79" s="4" t="s">
        <v>6</v>
      </c>
      <c r="E79" s="3">
        <f t="shared" si="1"/>
        <v>0.04761904762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1">
        <v>44.0</v>
      </c>
      <c r="B80" s="4">
        <v>88.0</v>
      </c>
      <c r="C80" s="4">
        <v>20.0</v>
      </c>
      <c r="D80" s="4" t="s">
        <v>6</v>
      </c>
      <c r="E80" s="3">
        <f t="shared" si="1"/>
        <v>0.05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1">
        <v>25.0</v>
      </c>
      <c r="B81" s="4">
        <v>45.0</v>
      </c>
      <c r="C81" s="4">
        <v>16.0</v>
      </c>
      <c r="D81" s="4" t="s">
        <v>6</v>
      </c>
      <c r="E81" s="3">
        <f t="shared" si="1"/>
        <v>0.05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1">
        <v>42.0</v>
      </c>
      <c r="B82" s="4">
        <v>84.0</v>
      </c>
      <c r="C82" s="4">
        <v>19.0</v>
      </c>
      <c r="D82" s="4" t="s">
        <v>6</v>
      </c>
      <c r="E82" s="3">
        <f t="shared" si="1"/>
        <v>0.05263157895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1">
        <v>40.0</v>
      </c>
      <c r="B83" s="4">
        <v>80.0</v>
      </c>
      <c r="C83" s="4">
        <v>18.0</v>
      </c>
      <c r="D83" s="4" t="s">
        <v>6</v>
      </c>
      <c r="E83" s="3">
        <f t="shared" si="1"/>
        <v>0.05555555556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1">
        <v>38.0</v>
      </c>
      <c r="B84" s="4">
        <v>76.0</v>
      </c>
      <c r="C84" s="4">
        <v>17.0</v>
      </c>
      <c r="D84" s="4" t="s">
        <v>6</v>
      </c>
      <c r="E84" s="3">
        <f t="shared" si="1"/>
        <v>0.05882352941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1">
        <v>36.0</v>
      </c>
      <c r="B85" s="4">
        <v>72.0</v>
      </c>
      <c r="C85" s="4">
        <v>16.0</v>
      </c>
      <c r="D85" s="4" t="s">
        <v>6</v>
      </c>
      <c r="E85" s="3">
        <f t="shared" si="1"/>
        <v>0.0625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1">
        <v>34.0</v>
      </c>
      <c r="B86" s="4">
        <v>68.0</v>
      </c>
      <c r="C86" s="4">
        <v>15.0</v>
      </c>
      <c r="D86" s="4" t="s">
        <v>6</v>
      </c>
      <c r="E86" s="3">
        <f t="shared" si="1"/>
        <v>0.06666666667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1">
        <v>32.0</v>
      </c>
      <c r="B87" s="4">
        <v>64.0</v>
      </c>
      <c r="C87" s="4">
        <v>14.0</v>
      </c>
      <c r="D87" s="4" t="s">
        <v>6</v>
      </c>
      <c r="E87" s="3">
        <f t="shared" si="1"/>
        <v>0.07142857143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1">
        <v>20.0</v>
      </c>
      <c r="B88" s="4">
        <v>38.0</v>
      </c>
      <c r="C88" s="4">
        <v>12.0</v>
      </c>
      <c r="D88" s="4" t="s">
        <v>6</v>
      </c>
      <c r="E88" s="3">
        <f t="shared" si="1"/>
        <v>0.075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1">
        <v>28.0</v>
      </c>
      <c r="B89" s="4">
        <v>56.0</v>
      </c>
      <c r="C89" s="4">
        <v>12.0</v>
      </c>
      <c r="D89" s="4" t="s">
        <v>6</v>
      </c>
      <c r="E89" s="3">
        <f t="shared" si="1"/>
        <v>0.08333333333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1">
        <v>18.0</v>
      </c>
      <c r="B90" s="4">
        <v>32.0</v>
      </c>
      <c r="C90" s="4">
        <v>9.0</v>
      </c>
      <c r="D90" s="4" t="s">
        <v>6</v>
      </c>
      <c r="E90" s="3">
        <f t="shared" si="1"/>
        <v>0.08641975309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1">
        <v>26.0</v>
      </c>
      <c r="B91" s="4">
        <v>52.0</v>
      </c>
      <c r="C91" s="4">
        <v>11.0</v>
      </c>
      <c r="D91" s="4" t="s">
        <v>6</v>
      </c>
      <c r="E91" s="3">
        <f t="shared" si="1"/>
        <v>0.09090909091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1">
        <v>24.0</v>
      </c>
      <c r="B92" s="4">
        <v>48.0</v>
      </c>
      <c r="C92" s="4">
        <v>10.0</v>
      </c>
      <c r="D92" s="4" t="s">
        <v>6</v>
      </c>
      <c r="E92" s="3">
        <f t="shared" si="1"/>
        <v>0.1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1">
        <v>15.0</v>
      </c>
      <c r="B93" s="4">
        <v>35.0</v>
      </c>
      <c r="C93" s="4">
        <v>13.0</v>
      </c>
      <c r="D93" s="4" t="s">
        <v>6</v>
      </c>
      <c r="E93" s="3">
        <f t="shared" si="1"/>
        <v>0.1025641026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1">
        <v>22.0</v>
      </c>
      <c r="B94" s="4">
        <v>44.0</v>
      </c>
      <c r="C94" s="4">
        <v>9.0</v>
      </c>
      <c r="D94" s="4" t="s">
        <v>6</v>
      </c>
      <c r="E94" s="3">
        <f t="shared" si="1"/>
        <v>0.1111111111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1">
        <v>20.0</v>
      </c>
      <c r="B95" s="4">
        <v>40.0</v>
      </c>
      <c r="C95" s="4">
        <v>8.0</v>
      </c>
      <c r="D95" s="4" t="s">
        <v>6</v>
      </c>
      <c r="E95" s="3">
        <f t="shared" si="1"/>
        <v>0.125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1">
        <v>18.0</v>
      </c>
      <c r="B96" s="4">
        <v>36.0</v>
      </c>
      <c r="C96" s="4">
        <v>7.0</v>
      </c>
      <c r="D96" s="4" t="s">
        <v>6</v>
      </c>
      <c r="E96" s="3">
        <f t="shared" si="1"/>
        <v>0.1428571429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1">
        <v>16.0</v>
      </c>
      <c r="B97" s="4">
        <v>32.0</v>
      </c>
      <c r="C97" s="4">
        <v>6.0</v>
      </c>
      <c r="D97" s="4" t="s">
        <v>6</v>
      </c>
      <c r="E97" s="3">
        <f t="shared" si="1"/>
        <v>0.1666666667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1">
        <v>14.0</v>
      </c>
      <c r="B98" s="4">
        <v>28.0</v>
      </c>
      <c r="C98" s="4">
        <v>5.0</v>
      </c>
      <c r="D98" s="4" t="s">
        <v>6</v>
      </c>
      <c r="E98" s="3">
        <f t="shared" si="1"/>
        <v>0.2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1">
        <v>11.0</v>
      </c>
      <c r="B99" s="4">
        <v>30.0</v>
      </c>
      <c r="C99" s="4">
        <v>7.0</v>
      </c>
      <c r="D99" s="4" t="s">
        <v>6</v>
      </c>
      <c r="E99" s="3">
        <f t="shared" si="1"/>
        <v>0.2467532468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1">
        <v>12.0</v>
      </c>
      <c r="B100" s="4">
        <v>24.0</v>
      </c>
      <c r="C100" s="4">
        <v>4.0</v>
      </c>
      <c r="D100" s="4" t="s">
        <v>6</v>
      </c>
      <c r="E100" s="3">
        <f t="shared" si="1"/>
        <v>0.25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1">
        <v>10.0</v>
      </c>
      <c r="B101" s="4">
        <v>20.0</v>
      </c>
      <c r="C101" s="4">
        <v>3.0</v>
      </c>
      <c r="D101" s="4" t="s">
        <v>6</v>
      </c>
      <c r="E101" s="3">
        <f t="shared" si="1"/>
        <v>0.3333333333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autoFilter ref="$A$1:$W$1000">
    <sortState ref="A1:W1000">
      <sortCondition ref="D1:D1000"/>
      <sortCondition ref="E1:E1000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</cols>
  <sheetData>
    <row r="1">
      <c r="A1" s="6" t="s">
        <v>7</v>
      </c>
      <c r="B1" s="6" t="s">
        <v>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9">
        <v>0.007263560560673469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>
        <v>2.0</v>
      </c>
      <c r="B3" s="10">
        <v>0.02205686205686206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>
        <v>3.0</v>
      </c>
      <c r="B4" s="10">
        <v>0.01573495659837953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>
        <v>4.0</v>
      </c>
      <c r="B5" s="10">
        <v>0.007263560560673469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>
        <v>5.0</v>
      </c>
      <c r="B6" s="10">
        <v>0.005856069741052544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11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