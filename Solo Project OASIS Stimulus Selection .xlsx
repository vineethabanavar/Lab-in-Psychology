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ASIS data" sheetId="1" r:id="rId4"/>
    <sheet state="visible" name="Conditions" sheetId="2" r:id="rId5"/>
    <sheet state="visible" name="Selected data" sheetId="3" r:id="rId6"/>
    <sheet state="visible" name="Phase 1" sheetId="4" r:id="rId7"/>
    <sheet state="visible" name="Phase 2 foils" sheetId="5" r:id="rId8"/>
  </sheets>
  <definedNames>
    <definedName hidden="1" localSheetId="0" name="_xlnm._FilterDatabase">'OASIS data'!$A$1:$Z$1000</definedName>
    <definedName hidden="1" localSheetId="3" name="_xlnm._FilterDatabase">'Phase 1'!$A$1:$Z$49</definedName>
  </definedNames>
  <calcPr/>
</workbook>
</file>

<file path=xl/sharedStrings.xml><?xml version="1.0" encoding="utf-8"?>
<sst xmlns="http://schemas.openxmlformats.org/spreadsheetml/2006/main" count="4294" uniqueCount="1927">
  <si>
    <t>Theme</t>
  </si>
  <si>
    <t>Category</t>
  </si>
  <si>
    <t>Source</t>
  </si>
  <si>
    <t>Valence_mean</t>
  </si>
  <si>
    <t>Valence_SD</t>
  </si>
  <si>
    <t>Valence_N</t>
  </si>
  <si>
    <t>Arousal_mean</t>
  </si>
  <si>
    <t>Arousal_SD</t>
  </si>
  <si>
    <t>Arousal_N</t>
  </si>
  <si>
    <t>I743</t>
  </si>
  <si>
    <t>Siblings 1</t>
  </si>
  <si>
    <t>Person</t>
  </si>
  <si>
    <t>Pixabay</t>
  </si>
  <si>
    <t>I287</t>
  </si>
  <si>
    <t>Dummy 1</t>
  </si>
  <si>
    <t>Object</t>
  </si>
  <si>
    <t>Flickr/Christopher Michel</t>
  </si>
  <si>
    <t>I32</t>
  </si>
  <si>
    <t>Baby 1</t>
  </si>
  <si>
    <t>I36</t>
  </si>
  <si>
    <t>Baby 5</t>
  </si>
  <si>
    <t>I505</t>
  </si>
  <si>
    <t>Mother 1</t>
  </si>
  <si>
    <t>I276</t>
  </si>
  <si>
    <t>Dog 26</t>
  </si>
  <si>
    <t>Animal</t>
  </si>
  <si>
    <t>Flickr/virtualcorey</t>
  </si>
  <si>
    <t>I39</t>
  </si>
  <si>
    <t>Baby 8</t>
  </si>
  <si>
    <t>I510</t>
  </si>
  <si>
    <t>Mother 6</t>
  </si>
  <si>
    <t>I620</t>
  </si>
  <si>
    <t>Picnic 1</t>
  </si>
  <si>
    <t>I508</t>
  </si>
  <si>
    <t>Mother 4</t>
  </si>
  <si>
    <t>I37</t>
  </si>
  <si>
    <t>Baby 6</t>
  </si>
  <si>
    <t>I326</t>
  </si>
  <si>
    <t>Fire 9</t>
  </si>
  <si>
    <t>Scene</t>
  </si>
  <si>
    <t>I380</t>
  </si>
  <si>
    <t>Garbage dump 2</t>
  </si>
  <si>
    <t>I234</t>
  </si>
  <si>
    <t>Dirt 1</t>
  </si>
  <si>
    <t>I26</t>
  </si>
  <si>
    <t>Animal carcass 5</t>
  </si>
  <si>
    <t>Wikipedia</t>
  </si>
  <si>
    <t>I382</t>
  </si>
  <si>
    <t>Garbage dump 4</t>
  </si>
  <si>
    <t>I511</t>
  </si>
  <si>
    <t>Mother 7</t>
  </si>
  <si>
    <t>I871</t>
  </si>
  <si>
    <t>War 8</t>
  </si>
  <si>
    <t>I322</t>
  </si>
  <si>
    <t>Fire 5</t>
  </si>
  <si>
    <t>I324</t>
  </si>
  <si>
    <t>Fire 7</t>
  </si>
  <si>
    <t>I328</t>
  </si>
  <si>
    <t>Fire 11</t>
  </si>
  <si>
    <t>I308</t>
  </si>
  <si>
    <t>Father 1</t>
  </si>
  <si>
    <t>I33</t>
  </si>
  <si>
    <t>Baby 2</t>
  </si>
  <si>
    <t>I306</t>
  </si>
  <si>
    <t>Explosion 5</t>
  </si>
  <si>
    <t>I227</t>
  </si>
  <si>
    <t>Destruction 4</t>
  </si>
  <si>
    <t>I82</t>
  </si>
  <si>
    <t>Bloody knife 1</t>
  </si>
  <si>
    <t>Flickr/Maarten Van Damme</t>
  </si>
  <si>
    <t>I120</t>
  </si>
  <si>
    <t>Car crash 1</t>
  </si>
  <si>
    <t>I274</t>
  </si>
  <si>
    <t>Dog 24</t>
  </si>
  <si>
    <t>I236</t>
  </si>
  <si>
    <t>Destruction 3</t>
  </si>
  <si>
    <t>I740</t>
  </si>
  <si>
    <t>Shot 3</t>
  </si>
  <si>
    <t>I319</t>
  </si>
  <si>
    <t>Fire 2</t>
  </si>
  <si>
    <t>I384</t>
  </si>
  <si>
    <t>Garbage dump 6</t>
  </si>
  <si>
    <t>I879</t>
  </si>
  <si>
    <t>Wedding 6</t>
  </si>
  <si>
    <t>I513</t>
  </si>
  <si>
    <t>Mother 9</t>
  </si>
  <si>
    <t>Flickr/Graco Children Products</t>
  </si>
  <si>
    <t>I117</t>
  </si>
  <si>
    <t>Car accident 2</t>
  </si>
  <si>
    <t>I121</t>
  </si>
  <si>
    <t>Car crash 2</t>
  </si>
  <si>
    <t>I381</t>
  </si>
  <si>
    <t>Garbage dump 3</t>
  </si>
  <si>
    <t>I310</t>
  </si>
  <si>
    <t>Feces 2</t>
  </si>
  <si>
    <t>I229</t>
  </si>
  <si>
    <t>Destruction 6</t>
  </si>
  <si>
    <t>I230</t>
  </si>
  <si>
    <t>Destruction 7</t>
  </si>
  <si>
    <t>I443</t>
  </si>
  <si>
    <t>Jail 2</t>
  </si>
  <si>
    <t>I119</t>
  </si>
  <si>
    <t>Car accident 4</t>
  </si>
  <si>
    <t>I122</t>
  </si>
  <si>
    <t>Car crash 3</t>
  </si>
  <si>
    <t>I186</t>
  </si>
  <si>
    <t>Couple 4</t>
  </si>
  <si>
    <t>I639</t>
  </si>
  <si>
    <t>Plane crash 4</t>
  </si>
  <si>
    <t>I320</t>
  </si>
  <si>
    <t>Fire 3</t>
  </si>
  <si>
    <t>I166</t>
  </si>
  <si>
    <t>Cockroach 1</t>
  </si>
  <si>
    <t>I386</t>
  </si>
  <si>
    <t>Garbage dump 8</t>
  </si>
  <si>
    <t>I281</t>
  </si>
  <si>
    <t>Dog 31</t>
  </si>
  <si>
    <t>I509</t>
  </si>
  <si>
    <t>Mother 5</t>
  </si>
  <si>
    <t>I848</t>
  </si>
  <si>
    <t>Tornado 1</t>
  </si>
  <si>
    <t>I233</t>
  </si>
  <si>
    <t>Destruction 10</t>
  </si>
  <si>
    <t>I445</t>
  </si>
  <si>
    <t>Jail 4</t>
  </si>
  <si>
    <t>I383</t>
  </si>
  <si>
    <t>Garbage dump 5</t>
  </si>
  <si>
    <t>I309</t>
  </si>
  <si>
    <t>Feces 1</t>
  </si>
  <si>
    <t>I116</t>
  </si>
  <si>
    <t>Car accident 1</t>
  </si>
  <si>
    <t>I228</t>
  </si>
  <si>
    <t>Destruction 5</t>
  </si>
  <si>
    <t>I235</t>
  </si>
  <si>
    <t>Destruction 2</t>
  </si>
  <si>
    <t>I379</t>
  </si>
  <si>
    <t>Garbage dump 1</t>
  </si>
  <si>
    <t>I442</t>
  </si>
  <si>
    <t>Jail 1</t>
  </si>
  <si>
    <t>I323</t>
  </si>
  <si>
    <t>Fire 6</t>
  </si>
  <si>
    <t>I231</t>
  </si>
  <si>
    <t>Destruction 8</t>
  </si>
  <si>
    <t>I638</t>
  </si>
  <si>
    <t>Plane crash 3</t>
  </si>
  <si>
    <t>I307</t>
  </si>
  <si>
    <t>Explosion 6</t>
  </si>
  <si>
    <t>I83</t>
  </si>
  <si>
    <t>Bloody knife 2</t>
  </si>
  <si>
    <t>Flickr/Steven Depolo</t>
  </si>
  <si>
    <t>I167</t>
  </si>
  <si>
    <t>Cockroach 2</t>
  </si>
  <si>
    <t>I169</t>
  </si>
  <si>
    <t>Cockroach 4</t>
  </si>
  <si>
    <t>I343</t>
  </si>
  <si>
    <t>Flood 3</t>
  </si>
  <si>
    <t>I512</t>
  </si>
  <si>
    <t>Mother 8</t>
  </si>
  <si>
    <t>I631</t>
  </si>
  <si>
    <t>Pigeon 6</t>
  </si>
  <si>
    <t>Flickr/internets_dairy</t>
  </si>
  <si>
    <t>I12</t>
  </si>
  <si>
    <t>Ambulance 1</t>
  </si>
  <si>
    <t>I506</t>
  </si>
  <si>
    <t>Mother 2</t>
  </si>
  <si>
    <t>I35</t>
  </si>
  <si>
    <t>Baby 4</t>
  </si>
  <si>
    <t>I342</t>
  </si>
  <si>
    <t>Flood 2</t>
  </si>
  <si>
    <t>I341</t>
  </si>
  <si>
    <t>Flood 1</t>
  </si>
  <si>
    <t>I770</t>
  </si>
  <si>
    <t>Snake 4</t>
  </si>
  <si>
    <t>I303</t>
  </si>
  <si>
    <t>Explosion 2</t>
  </si>
  <si>
    <t>I189</t>
  </si>
  <si>
    <t>Couple 7</t>
  </si>
  <si>
    <t>I865</t>
  </si>
  <si>
    <t>War 2</t>
  </si>
  <si>
    <t>I27</t>
  </si>
  <si>
    <t>Animal carcass 6</t>
  </si>
  <si>
    <t>I621</t>
  </si>
  <si>
    <t>Picnic 2</t>
  </si>
  <si>
    <t>I205</t>
  </si>
  <si>
    <t>Dancing 7</t>
  </si>
  <si>
    <t>I168</t>
  </si>
  <si>
    <t>Cockroach 3</t>
  </si>
  <si>
    <t>I868</t>
  </si>
  <si>
    <t>War 5</t>
  </si>
  <si>
    <t>I40</t>
  </si>
  <si>
    <t>Baby 9</t>
  </si>
  <si>
    <t>I327</t>
  </si>
  <si>
    <t>Fire 10</t>
  </si>
  <si>
    <t>I645</t>
  </si>
  <si>
    <t>Pollution 1</t>
  </si>
  <si>
    <t>I394</t>
  </si>
  <si>
    <t>Gazing 6</t>
  </si>
  <si>
    <t>I305</t>
  </si>
  <si>
    <t>Explosion 4</t>
  </si>
  <si>
    <t>I34</t>
  </si>
  <si>
    <t>Baby 3</t>
  </si>
  <si>
    <t>I717</t>
  </si>
  <si>
    <t>School 2</t>
  </si>
  <si>
    <t>I150</t>
  </si>
  <si>
    <t>Cemetery 5</t>
  </si>
  <si>
    <t>I444</t>
  </si>
  <si>
    <t>Jail 3</t>
  </si>
  <si>
    <t>I847</t>
  </si>
  <si>
    <t>Toilet 4</t>
  </si>
  <si>
    <t>I741</t>
  </si>
  <si>
    <t>Shot 4</t>
  </si>
  <si>
    <t>I293</t>
  </si>
  <si>
    <t>Excited face 2</t>
  </si>
  <si>
    <t>Flickr/Shreyans Bhansali</t>
  </si>
  <si>
    <t>I191</t>
  </si>
  <si>
    <t>Couple 9</t>
  </si>
  <si>
    <t>I204</t>
  </si>
  <si>
    <t>Dancing 6</t>
  </si>
  <si>
    <t>I539</t>
  </si>
  <si>
    <t>Nude couple 13</t>
  </si>
  <si>
    <t>I883</t>
  </si>
  <si>
    <t>Wedding 10</t>
  </si>
  <si>
    <t>I636</t>
  </si>
  <si>
    <t>Plane crash 1</t>
  </si>
  <si>
    <t>I891</t>
  </si>
  <si>
    <t>Yarn 1</t>
  </si>
  <si>
    <t>I791</t>
  </si>
  <si>
    <t>Soldiers 10</t>
  </si>
  <si>
    <t>I421</t>
  </si>
  <si>
    <t>Hallway 1</t>
  </si>
  <si>
    <t>I876</t>
  </si>
  <si>
    <t>Wedding 3</t>
  </si>
  <si>
    <t>I650</t>
  </si>
  <si>
    <t>Prison 2</t>
  </si>
  <si>
    <t>I875</t>
  </si>
  <si>
    <t>Wedding 2</t>
  </si>
  <si>
    <t>I857</t>
  </si>
  <si>
    <t>Volcano 2</t>
  </si>
  <si>
    <t>I225</t>
  </si>
  <si>
    <t>Dessert 8</t>
  </si>
  <si>
    <t>I420</t>
  </si>
  <si>
    <t>Gun 10</t>
  </si>
  <si>
    <t>I302</t>
  </si>
  <si>
    <t>Explosion 1</t>
  </si>
  <si>
    <t>I284</t>
  </si>
  <si>
    <t>Dog attack 3</t>
  </si>
  <si>
    <t>I304</t>
  </si>
  <si>
    <t>Explosion 3</t>
  </si>
  <si>
    <t>I882</t>
  </si>
  <si>
    <t>Wedding 9</t>
  </si>
  <si>
    <t>I850</t>
  </si>
  <si>
    <t>Tornado 3</t>
  </si>
  <si>
    <t>I273</t>
  </si>
  <si>
    <t>Dog 23</t>
  </si>
  <si>
    <t>Flickr/Daniel Pascoal</t>
  </si>
  <si>
    <t>I118</t>
  </si>
  <si>
    <t>Car accident 3</t>
  </si>
  <si>
    <t>I190</t>
  </si>
  <si>
    <t>Couple 8</t>
  </si>
  <si>
    <t>I294</t>
  </si>
  <si>
    <t>Excited face 3</t>
  </si>
  <si>
    <t>I851</t>
  </si>
  <si>
    <t>Tornado 4</t>
  </si>
  <si>
    <t>I487</t>
  </si>
  <si>
    <t>Massage 2</t>
  </si>
  <si>
    <t>Flickr/Synergy ByDesign</t>
  </si>
  <si>
    <t>I22</t>
  </si>
  <si>
    <t>Animal carcass 1</t>
  </si>
  <si>
    <t>I411</t>
  </si>
  <si>
    <t>Gun 1</t>
  </si>
  <si>
    <t>I385</t>
  </si>
  <si>
    <t>Garbage dump 7</t>
  </si>
  <si>
    <t>I878</t>
  </si>
  <si>
    <t>Wedding 5</t>
  </si>
  <si>
    <t>I297</t>
  </si>
  <si>
    <t>Excited face 6</t>
  </si>
  <si>
    <t>I24</t>
  </si>
  <si>
    <t>Animal carcass 3</t>
  </si>
  <si>
    <t>I738</t>
  </si>
  <si>
    <t>Shot 1</t>
  </si>
  <si>
    <t>I149</t>
  </si>
  <si>
    <t>Cemetery 4</t>
  </si>
  <si>
    <t>I898</t>
  </si>
  <si>
    <t>Yoga 4</t>
  </si>
  <si>
    <t>I317</t>
  </si>
  <si>
    <t>Ferret 1</t>
  </si>
  <si>
    <t>I157</t>
  </si>
  <si>
    <t>Children 1</t>
  </si>
  <si>
    <t>Flickr/Stefano Corso</t>
  </si>
  <si>
    <t>I30</t>
  </si>
  <si>
    <t>Astronaut 1</t>
  </si>
  <si>
    <t>I637</t>
  </si>
  <si>
    <t>Plane crash 2</t>
  </si>
  <si>
    <t>I486</t>
  </si>
  <si>
    <t>Massage 1</t>
  </si>
  <si>
    <t>I203</t>
  </si>
  <si>
    <t>Dancing 5</t>
  </si>
  <si>
    <t>I749</t>
  </si>
  <si>
    <t>Sidewalk 6</t>
  </si>
  <si>
    <t>I416</t>
  </si>
  <si>
    <t>Gun 6</t>
  </si>
  <si>
    <t>I873</t>
  </si>
  <si>
    <t>Weapon 1</t>
  </si>
  <si>
    <t>I533</t>
  </si>
  <si>
    <t>Nude couple 7</t>
  </si>
  <si>
    <t>I282</t>
  </si>
  <si>
    <t>Dog attack 1</t>
  </si>
  <si>
    <t>I531</t>
  </si>
  <si>
    <t>Nude couple 5</t>
  </si>
  <si>
    <t>I503</t>
  </si>
  <si>
    <t>Monkey 4</t>
  </si>
  <si>
    <t>I414</t>
  </si>
  <si>
    <t>Gun 4</t>
  </si>
  <si>
    <t>I288</t>
  </si>
  <si>
    <t>Eating 1</t>
  </si>
  <si>
    <t>I417</t>
  </si>
  <si>
    <t>Gun 7</t>
  </si>
  <si>
    <t>I419</t>
  </si>
  <si>
    <t>Gun 9</t>
  </si>
  <si>
    <t>I874</t>
  </si>
  <si>
    <t>Wedding 1</t>
  </si>
  <si>
    <t>I314</t>
  </si>
  <si>
    <t>Fence 4</t>
  </si>
  <si>
    <t>I771</t>
  </si>
  <si>
    <t>Snake 5</t>
  </si>
  <si>
    <t>I794</t>
  </si>
  <si>
    <t>Spider 2</t>
  </si>
  <si>
    <t>I769</t>
  </si>
  <si>
    <t>Snake 3</t>
  </si>
  <si>
    <t>I107</t>
  </si>
  <si>
    <t>Camping 4</t>
  </si>
  <si>
    <t>I370</t>
  </si>
  <si>
    <t>Funeral 1</t>
  </si>
  <si>
    <t>I415</t>
  </si>
  <si>
    <t>Gun 5</t>
  </si>
  <si>
    <t>I148</t>
  </si>
  <si>
    <t>Cemetery 3</t>
  </si>
  <si>
    <t>I296</t>
  </si>
  <si>
    <t>Excited face 5</t>
  </si>
  <si>
    <t>I490</t>
  </si>
  <si>
    <t>Memorial 2</t>
  </si>
  <si>
    <t>I608</t>
  </si>
  <si>
    <t>Parade 1</t>
  </si>
  <si>
    <t>I722</t>
  </si>
  <si>
    <t>School 7</t>
  </si>
  <si>
    <t>I766</t>
  </si>
  <si>
    <t>Smiling face 1</t>
  </si>
  <si>
    <t>I413</t>
  </si>
  <si>
    <t>Gun 3</t>
  </si>
  <si>
    <t>I767</t>
  </si>
  <si>
    <t>Snake 1</t>
  </si>
  <si>
    <t>I742</t>
  </si>
  <si>
    <t>Shot 5</t>
  </si>
  <si>
    <t>I184</t>
  </si>
  <si>
    <t>Couple 2</t>
  </si>
  <si>
    <t>I188</t>
  </si>
  <si>
    <t>Couple 6</t>
  </si>
  <si>
    <t>I429</t>
  </si>
  <si>
    <t>Happy pose 2</t>
  </si>
  <si>
    <t>I721</t>
  </si>
  <si>
    <t>School 6</t>
  </si>
  <si>
    <t>I491</t>
  </si>
  <si>
    <t>Memorial 3</t>
  </si>
  <si>
    <t>I104</t>
  </si>
  <si>
    <t>Camping 1</t>
  </si>
  <si>
    <t>I793</t>
  </si>
  <si>
    <t>Spider 1</t>
  </si>
  <si>
    <t>I446</t>
  </si>
  <si>
    <t>Jail 5</t>
  </si>
  <si>
    <t>I768</t>
  </si>
  <si>
    <t>Snake 2</t>
  </si>
  <si>
    <t>I361</t>
  </si>
  <si>
    <t>Frisbee 1</t>
  </si>
  <si>
    <t>I729</t>
  </si>
  <si>
    <t>Shark 4</t>
  </si>
  <si>
    <t>I418</t>
  </si>
  <si>
    <t>Gun 8</t>
  </si>
  <si>
    <t>I889</t>
  </si>
  <si>
    <t>Wolf 2</t>
  </si>
  <si>
    <t>Flickr/Tambako The Jaguar</t>
  </si>
  <si>
    <t>I207</t>
  </si>
  <si>
    <t>Dancing 9</t>
  </si>
  <si>
    <t>I656</t>
  </si>
  <si>
    <t>Rafting 4</t>
  </si>
  <si>
    <t>I292</t>
  </si>
  <si>
    <t>Excited face 1</t>
  </si>
  <si>
    <t>Flickr/Aaron Shumaker</t>
  </si>
  <si>
    <t>I772</t>
  </si>
  <si>
    <t>Snake 6</t>
  </si>
  <si>
    <t>I895</t>
  </si>
  <si>
    <t>Yoga 1</t>
  </si>
  <si>
    <t>I183</t>
  </si>
  <si>
    <t>Couple 1</t>
  </si>
  <si>
    <t>I202</t>
  </si>
  <si>
    <t>Dancing 4</t>
  </si>
  <si>
    <t>I410</t>
  </si>
  <si>
    <t>Guitar 1</t>
  </si>
  <si>
    <t>I825</t>
  </si>
  <si>
    <t>Thunderstorm 1</t>
  </si>
  <si>
    <t>I887</t>
  </si>
  <si>
    <t>Windmill 1</t>
  </si>
  <si>
    <t>I536</t>
  </si>
  <si>
    <t>Nude couple 10</t>
  </si>
  <si>
    <t>I226</t>
  </si>
  <si>
    <t>Destruction 1</t>
  </si>
  <si>
    <t>I897</t>
  </si>
  <si>
    <t>Yoga 3</t>
  </si>
  <si>
    <t>I750</t>
  </si>
  <si>
    <t>Skier 1</t>
  </si>
  <si>
    <t>I13</t>
  </si>
  <si>
    <t>Ambulance 2</t>
  </si>
  <si>
    <t>I426</t>
  </si>
  <si>
    <t>Happy face 1</t>
  </si>
  <si>
    <t>I406</t>
  </si>
  <si>
    <t>Graveyard 1</t>
  </si>
  <si>
    <t>I409</t>
  </si>
  <si>
    <t>Graveyard 4</t>
  </si>
  <si>
    <t>I735</t>
  </si>
  <si>
    <t>Shark 10</t>
  </si>
  <si>
    <t>I453</t>
  </si>
  <si>
    <t>Knife 1</t>
  </si>
  <si>
    <t>I852</t>
  </si>
  <si>
    <t>Tornado 5</t>
  </si>
  <si>
    <t>I23</t>
  </si>
  <si>
    <t>Animal carcass 2</t>
  </si>
  <si>
    <t>I529</t>
  </si>
  <si>
    <t>Nude couple 3</t>
  </si>
  <si>
    <t>Flickr/you me</t>
  </si>
  <si>
    <t>I388</t>
  </si>
  <si>
    <t>Gargoyle 2</t>
  </si>
  <si>
    <t>I407</t>
  </si>
  <si>
    <t>Graveyard 2</t>
  </si>
  <si>
    <t>I591</t>
  </si>
  <si>
    <t>Opossum 1</t>
  </si>
  <si>
    <t>I393</t>
  </si>
  <si>
    <t>Gazing 5</t>
  </si>
  <si>
    <t>I14</t>
  </si>
  <si>
    <t>Ambulance 3</t>
  </si>
  <si>
    <t>I528</t>
  </si>
  <si>
    <t>Nude couple 2</t>
  </si>
  <si>
    <t>I136</t>
  </si>
  <si>
    <t>Cat 7</t>
  </si>
  <si>
    <t>I605</t>
  </si>
  <si>
    <t>Parachuting 2</t>
  </si>
  <si>
    <t>I179</t>
  </si>
  <si>
    <t>Collaboration 1</t>
  </si>
  <si>
    <t>I454</t>
  </si>
  <si>
    <t>Knife 2</t>
  </si>
  <si>
    <t>I853</t>
  </si>
  <si>
    <t>Torture chamber 1</t>
  </si>
  <si>
    <t>I391</t>
  </si>
  <si>
    <t>Gazing 3</t>
  </si>
  <si>
    <t>Flickr/Joshua Blount</t>
  </si>
  <si>
    <t>I527</t>
  </si>
  <si>
    <t>Nude couple 1</t>
  </si>
  <si>
    <t>I41</t>
  </si>
  <si>
    <t>Baby 10</t>
  </si>
  <si>
    <t>I283</t>
  </si>
  <si>
    <t>Dog attack 2</t>
  </si>
  <si>
    <t>I265</t>
  </si>
  <si>
    <t>Dog 15</t>
  </si>
  <si>
    <t>I776</t>
  </si>
  <si>
    <t>Snow 4</t>
  </si>
  <si>
    <t>I828</t>
  </si>
  <si>
    <t>Thunderstorm 4</t>
  </si>
  <si>
    <t>I515</t>
  </si>
  <si>
    <t>Musician 1</t>
  </si>
  <si>
    <t>I275</t>
  </si>
  <si>
    <t>Dog 25</t>
  </si>
  <si>
    <t>Flickr/InkHong</t>
  </si>
  <si>
    <t>I758</t>
  </si>
  <si>
    <t>Skydiving 4</t>
  </si>
  <si>
    <t>I606</t>
  </si>
  <si>
    <t>Parachuting 3</t>
  </si>
  <si>
    <t>I571</t>
  </si>
  <si>
    <t>Nude woman 8</t>
  </si>
  <si>
    <t>I530</t>
  </si>
  <si>
    <t>Nude couple 4</t>
  </si>
  <si>
    <t>Flickr/Marquis C.</t>
  </si>
  <si>
    <t>I836</t>
  </si>
  <si>
    <t>Tickling 1</t>
  </si>
  <si>
    <t>I568</t>
  </si>
  <si>
    <t>Nude woman 5</t>
  </si>
  <si>
    <t>I849</t>
  </si>
  <si>
    <t>Tornado 2</t>
  </si>
  <si>
    <t>I686</t>
  </si>
  <si>
    <t>Rugby 2</t>
  </si>
  <si>
    <t>I756</t>
  </si>
  <si>
    <t>Skydiving 2</t>
  </si>
  <si>
    <t>I289</t>
  </si>
  <si>
    <t>Eating 2</t>
  </si>
  <si>
    <r>
      <rPr>
        <rFont val="&quot;Helvetica Neue&quot;"/>
        <color rgb="FF1155CC"/>
        <sz val="8.0"/>
        <u/>
      </rPr>
      <t>Publicdomainpictures.net</t>
    </r>
  </si>
  <si>
    <t>I240</t>
  </si>
  <si>
    <t>Dirt 5</t>
  </si>
  <si>
    <t>I80</t>
  </si>
  <si>
    <t>Birthday 2</t>
  </si>
  <si>
    <t>I232</t>
  </si>
  <si>
    <t>Destruction 9</t>
  </si>
  <si>
    <t>I144</t>
  </si>
  <si>
    <t>Celebration 1</t>
  </si>
  <si>
    <t>I206</t>
  </si>
  <si>
    <t>Dancing 8</t>
  </si>
  <si>
    <t>I681</t>
  </si>
  <si>
    <t>Roofing 4</t>
  </si>
  <si>
    <t>I408</t>
  </si>
  <si>
    <t>Graveyard 3</t>
  </si>
  <si>
    <t>I730</t>
  </si>
  <si>
    <t>Shark 5</t>
  </si>
  <si>
    <t>I199</t>
  </si>
  <si>
    <t>Dancing 1</t>
  </si>
  <si>
    <t>I652</t>
  </si>
  <si>
    <t>Raccoon 1</t>
  </si>
  <si>
    <t>Flickr/chad thomas</t>
  </si>
  <si>
    <t>I502</t>
  </si>
  <si>
    <t>Monkey 3</t>
  </si>
  <si>
    <r>
      <rPr>
        <rFont val="&quot;Helvetica Neue&quot;"/>
        <color rgb="FF1155CC"/>
        <sz val="8.0"/>
        <u/>
      </rPr>
      <t>All-free-download.com</t>
    </r>
  </si>
  <si>
    <t>I532</t>
  </si>
  <si>
    <t>Nude couple 6</t>
  </si>
  <si>
    <t>Flickr/kris krueg</t>
  </si>
  <si>
    <t>I576</t>
  </si>
  <si>
    <t>Nude woman 13</t>
  </si>
  <si>
    <t>I71</t>
  </si>
  <si>
    <t>Bee 1</t>
  </si>
  <si>
    <t>I151</t>
  </si>
  <si>
    <t>Cheerleader 1</t>
  </si>
  <si>
    <t>I845</t>
  </si>
  <si>
    <t>Toilet 2</t>
  </si>
  <si>
    <t>I727</t>
  </si>
  <si>
    <t>Shark 2</t>
  </si>
  <si>
    <t>I482</t>
  </si>
  <si>
    <t>Lion 2</t>
  </si>
  <si>
    <t>Flickr/Matt Reinbold</t>
  </si>
  <si>
    <t>I822</t>
  </si>
  <si>
    <t>Surprise 2</t>
  </si>
  <si>
    <t>I177</t>
  </si>
  <si>
    <t>Cold 7</t>
  </si>
  <si>
    <t>I723</t>
  </si>
  <si>
    <t>School 8</t>
  </si>
  <si>
    <t>I578</t>
  </si>
  <si>
    <t>Nude woman 15</t>
  </si>
  <si>
    <t>I534</t>
  </si>
  <si>
    <t>Nude couple 8</t>
  </si>
  <si>
    <t>DeviantArt</t>
  </si>
  <si>
    <t>I802</t>
  </si>
  <si>
    <t>Storage 3</t>
  </si>
  <si>
    <t>I200</t>
  </si>
  <si>
    <t>Dancing 2</t>
  </si>
  <si>
    <t>I736</t>
  </si>
  <si>
    <t>Shark 11</t>
  </si>
  <si>
    <t>I109</t>
  </si>
  <si>
    <t>Camping 7</t>
  </si>
  <si>
    <t>I485</t>
  </si>
  <si>
    <t>Lion 5</t>
  </si>
  <si>
    <t>I575</t>
  </si>
  <si>
    <t>Nude woman 12</t>
  </si>
  <si>
    <t>I311</t>
  </si>
  <si>
    <t>Fence 1</t>
  </si>
  <si>
    <t>I572</t>
  </si>
  <si>
    <t>Nude woman 9</t>
  </si>
  <si>
    <t>I152</t>
  </si>
  <si>
    <t>Cheerleader 2</t>
  </si>
  <si>
    <t>I129</t>
  </si>
  <si>
    <t>Cardboard 3</t>
  </si>
  <si>
    <t>I856</t>
  </si>
  <si>
    <t>Volcano 1</t>
  </si>
  <si>
    <t>I726</t>
  </si>
  <si>
    <t>Shark 1</t>
  </si>
  <si>
    <t>I427</t>
  </si>
  <si>
    <t>Happy face 2</t>
  </si>
  <si>
    <t>I657</t>
  </si>
  <si>
    <t>Rafting 5</t>
  </si>
  <si>
    <t>I315</t>
  </si>
  <si>
    <t>Fence 5</t>
  </si>
  <si>
    <t>I890</t>
  </si>
  <si>
    <t>Woods 1</t>
  </si>
  <si>
    <t>I25</t>
  </si>
  <si>
    <t>Animal carcass 4</t>
  </si>
  <si>
    <t>I574</t>
  </si>
  <si>
    <t>Nude woman 11</t>
  </si>
  <si>
    <t>I844</t>
  </si>
  <si>
    <t>Toilet 1</t>
  </si>
  <si>
    <t>I728</t>
  </si>
  <si>
    <t>Shark 3</t>
  </si>
  <si>
    <t>I732</t>
  </si>
  <si>
    <t>Shark 7</t>
  </si>
  <si>
    <t>I570</t>
  </si>
  <si>
    <t>Nude woman 7</t>
  </si>
  <si>
    <t>I423</t>
  </si>
  <si>
    <t>Hang gliding 2</t>
  </si>
  <si>
    <t>I535</t>
  </si>
  <si>
    <t>Nude couple 9</t>
  </si>
  <si>
    <t>Flickr/Jaume Ventura</t>
  </si>
  <si>
    <t>I839</t>
  </si>
  <si>
    <t>Timber 1</t>
  </si>
  <si>
    <t>I846</t>
  </si>
  <si>
    <t>Toilet 3</t>
  </si>
  <si>
    <t>I313</t>
  </si>
  <si>
    <t>Fence 3</t>
  </si>
  <si>
    <t>I43</t>
  </si>
  <si>
    <t>Band 2</t>
  </si>
  <si>
    <t>I48</t>
  </si>
  <si>
    <t>Barbeque 2</t>
  </si>
  <si>
    <t>I290</t>
  </si>
  <si>
    <t>Eating 3</t>
  </si>
  <si>
    <t>I734</t>
  </si>
  <si>
    <t>Shark 9</t>
  </si>
  <si>
    <t>I716</t>
  </si>
  <si>
    <t>School 1</t>
  </si>
  <si>
    <t>I31</t>
  </si>
  <si>
    <t>Astronaut 2</t>
  </si>
  <si>
    <t>I731</t>
  </si>
  <si>
    <t>Shark 6</t>
  </si>
  <si>
    <t>I387</t>
  </si>
  <si>
    <t>Gargoyle 1</t>
  </si>
  <si>
    <t>I398</t>
  </si>
  <si>
    <t>Gorrila 1</t>
  </si>
  <si>
    <t>Flickr/Antony Stanley</t>
  </si>
  <si>
    <t>I115</t>
  </si>
  <si>
    <t>Car 2</t>
  </si>
  <si>
    <t>I680</t>
  </si>
  <si>
    <t>Roofing 3</t>
  </si>
  <si>
    <t>I580</t>
  </si>
  <si>
    <t>Nude woman 17</t>
  </si>
  <si>
    <t>I835</t>
  </si>
  <si>
    <t>Thunderstorm 11</t>
  </si>
  <si>
    <t>I610</t>
  </si>
  <si>
    <t>Parasailing 2</t>
  </si>
  <si>
    <t>I827</t>
  </si>
  <si>
    <t>Thunderstorm 3</t>
  </si>
  <si>
    <t>I165</t>
  </si>
  <si>
    <t>Cliff diver 3</t>
  </si>
  <si>
    <t>I103</t>
  </si>
  <si>
    <t>Bungee jumping 3</t>
  </si>
  <si>
    <t>Flickr/Eric Chan</t>
  </si>
  <si>
    <t>I192</t>
  </si>
  <si>
    <t>Crosswalk 1</t>
  </si>
  <si>
    <t>StockOGraphy</t>
  </si>
  <si>
    <t>I646</t>
  </si>
  <si>
    <t>Power lines 1</t>
  </si>
  <si>
    <t>I164</t>
  </si>
  <si>
    <t>Cliff diver 2</t>
  </si>
  <si>
    <t>I147</t>
  </si>
  <si>
    <t>Cemetery 2</t>
  </si>
  <si>
    <t>I171</t>
  </si>
  <si>
    <t>Cold 1</t>
  </si>
  <si>
    <t>I863</t>
  </si>
  <si>
    <t>Wall 5</t>
  </si>
  <si>
    <t>I862</t>
  </si>
  <si>
    <t>Wall 4</t>
  </si>
  <si>
    <t>I390</t>
  </si>
  <si>
    <t>Gazing 2</t>
  </si>
  <si>
    <t>I655</t>
  </si>
  <si>
    <t>Rafting 3</t>
  </si>
  <si>
    <t>I600</t>
  </si>
  <si>
    <t>Paperclips 1</t>
  </si>
  <si>
    <t>I507</t>
  </si>
  <si>
    <t>Mother 3</t>
  </si>
  <si>
    <t>I718</t>
  </si>
  <si>
    <t>School 3</t>
  </si>
  <si>
    <t>I217</t>
  </si>
  <si>
    <t>Desert 1</t>
  </si>
  <si>
    <t>I239</t>
  </si>
  <si>
    <t>Dirt 4</t>
  </si>
  <si>
    <t>I577</t>
  </si>
  <si>
    <t>Nude woman 14</t>
  </si>
  <si>
    <t>I128</t>
  </si>
  <si>
    <t>Cardboard 2</t>
  </si>
  <si>
    <t>I72</t>
  </si>
  <si>
    <t>Biking 1</t>
  </si>
  <si>
    <t>I801</t>
  </si>
  <si>
    <t>Storage 2</t>
  </si>
  <si>
    <t>I757</t>
  </si>
  <si>
    <t>Skydiving 3</t>
  </si>
  <si>
    <t>I127</t>
  </si>
  <si>
    <t>Cardboard 1</t>
  </si>
  <si>
    <t>I800</t>
  </si>
  <si>
    <t>Storage 1</t>
  </si>
  <si>
    <t>I70</t>
  </si>
  <si>
    <t>Bed 1</t>
  </si>
  <si>
    <t>Flickr/Hannah</t>
  </si>
  <si>
    <t>I678</t>
  </si>
  <si>
    <t>Roofing 1</t>
  </si>
  <si>
    <t>I501</t>
  </si>
  <si>
    <t>Monkey 2</t>
  </si>
  <si>
    <t>Flickr/Jo Christian Oterhals</t>
  </si>
  <si>
    <t>I649</t>
  </si>
  <si>
    <t>Prison 1</t>
  </si>
  <si>
    <t>I860</t>
  </si>
  <si>
    <t>Wall 2</t>
  </si>
  <si>
    <t>I450</t>
  </si>
  <si>
    <t>Keys 1</t>
  </si>
  <si>
    <t>I49</t>
  </si>
  <si>
    <t>Bark 1</t>
  </si>
  <si>
    <t>I586</t>
  </si>
  <si>
    <t>Office supplies 1</t>
  </si>
  <si>
    <t>I807</t>
  </si>
  <si>
    <t>Street 5</t>
  </si>
  <si>
    <t>I602</t>
  </si>
  <si>
    <t>Paperclips 3</t>
  </si>
  <si>
    <t>I682</t>
  </si>
  <si>
    <t>Roofing 5</t>
  </si>
  <si>
    <t>I473</t>
  </si>
  <si>
    <t>Lava 1</t>
  </si>
  <si>
    <t>I538</t>
  </si>
  <si>
    <t>Nude couple 12</t>
  </si>
  <si>
    <t>Flickr/dat</t>
  </si>
  <si>
    <t>I590</t>
  </si>
  <si>
    <t>Office supplies 5</t>
  </si>
  <si>
    <t>I181</t>
  </si>
  <si>
    <t>Cotton swabs 2</t>
  </si>
  <si>
    <t>I861</t>
  </si>
  <si>
    <t>Wall 3</t>
  </si>
  <si>
    <t>I679</t>
  </si>
  <si>
    <t>Roofing 2</t>
  </si>
  <si>
    <t>I594</t>
  </si>
  <si>
    <t>Paintbrush 1</t>
  </si>
  <si>
    <t>I733</t>
  </si>
  <si>
    <t>Shark 8</t>
  </si>
  <si>
    <t>I603</t>
  </si>
  <si>
    <t>Paperclips 4</t>
  </si>
  <si>
    <t>I859</t>
  </si>
  <si>
    <t>Wall 1</t>
  </si>
  <si>
    <t>I823</t>
  </si>
  <si>
    <t>Swimming 1</t>
  </si>
  <si>
    <t>I596</t>
  </si>
  <si>
    <t>Paper 2</t>
  </si>
  <si>
    <t>I598</t>
  </si>
  <si>
    <t>Paper 4</t>
  </si>
  <si>
    <t>I587</t>
  </si>
  <si>
    <t>Office supplies 2</t>
  </si>
  <si>
    <t>I524</t>
  </si>
  <si>
    <t>Neutral pose 1</t>
  </si>
  <si>
    <t>I180</t>
  </si>
  <si>
    <t>Cotton swabs 1</t>
  </si>
  <si>
    <t>I146</t>
  </si>
  <si>
    <t>Cemetery 1</t>
  </si>
  <si>
    <t>I448</t>
  </si>
  <si>
    <t>Keyboard 2</t>
  </si>
  <si>
    <t>I892</t>
  </si>
  <si>
    <t>Yarn 2</t>
  </si>
  <si>
    <t>I841</t>
  </si>
  <si>
    <t>Timber 3</t>
  </si>
  <si>
    <t>I259</t>
  </si>
  <si>
    <t>Dog 9</t>
  </si>
  <si>
    <t>Public Domain Photos</t>
  </si>
  <si>
    <t>I182</t>
  </si>
  <si>
    <t>Cotton swabs 3</t>
  </si>
  <si>
    <t>I760</t>
  </si>
  <si>
    <t>Skyscraper 1</t>
  </si>
  <si>
    <t>I238</t>
  </si>
  <si>
    <t>Dirt 3</t>
  </si>
  <si>
    <t>I198</t>
  </si>
  <si>
    <t>Cups 4</t>
  </si>
  <si>
    <t>I126</t>
  </si>
  <si>
    <t>Car race 4</t>
  </si>
  <si>
    <t>I196</t>
  </si>
  <si>
    <t>Cups 2</t>
  </si>
  <si>
    <t>I95</t>
  </si>
  <si>
    <t>Bricks 1</t>
  </si>
  <si>
    <t>I782</t>
  </si>
  <si>
    <t>Soldiers 1</t>
  </si>
  <si>
    <t>I595</t>
  </si>
  <si>
    <t>Paper 1</t>
  </si>
  <si>
    <t>I6</t>
  </si>
  <si>
    <t>Alcohol 3</t>
  </si>
  <si>
    <t>I447</t>
  </si>
  <si>
    <t>Keyboard 1</t>
  </si>
  <si>
    <t>I92</t>
  </si>
  <si>
    <t>Bottle 1</t>
  </si>
  <si>
    <t>I329</t>
  </si>
  <si>
    <t>Fire hydrant 1</t>
  </si>
  <si>
    <t>I325</t>
  </si>
  <si>
    <t>Fire 8</t>
  </si>
  <si>
    <t>I53</t>
  </si>
  <si>
    <t>Bark 5</t>
  </si>
  <si>
    <t>I422</t>
  </si>
  <si>
    <t>Hang gliding 1</t>
  </si>
  <si>
    <t>I894</t>
  </si>
  <si>
    <t>Yarn 4</t>
  </si>
  <si>
    <t>I780</t>
  </si>
  <si>
    <t>Socks 1</t>
  </si>
  <si>
    <t>I673</t>
  </si>
  <si>
    <t>Rocks 6</t>
  </si>
  <si>
    <t>I55</t>
  </si>
  <si>
    <t>Barrels 1</t>
  </si>
  <si>
    <t>I435</t>
  </si>
  <si>
    <t>Horse racing 1</t>
  </si>
  <si>
    <t>I312</t>
  </si>
  <si>
    <t>Fence 2</t>
  </si>
  <si>
    <t>I573</t>
  </si>
  <si>
    <t>Nude woman 10</t>
  </si>
  <si>
    <t>I330</t>
  </si>
  <si>
    <t>Fire hydrant 2</t>
  </si>
  <si>
    <t>I597</t>
  </si>
  <si>
    <t>Paper 3</t>
  </si>
  <si>
    <t>I588</t>
  </si>
  <si>
    <t>Office supplies 3</t>
  </si>
  <si>
    <t>I52</t>
  </si>
  <si>
    <t>Bark 4</t>
  </si>
  <si>
    <t>I623</t>
  </si>
  <si>
    <t>Picnic 4</t>
  </si>
  <si>
    <t>I331</t>
  </si>
  <si>
    <t>Fire hydrant 3</t>
  </si>
  <si>
    <t>I106</t>
  </si>
  <si>
    <t>Camping 3</t>
  </si>
  <si>
    <t>I5</t>
  </si>
  <si>
    <t>Alcohol 2</t>
  </si>
  <si>
    <t>I475</t>
  </si>
  <si>
    <t>Lightning 2</t>
  </si>
  <si>
    <t>I54</t>
  </si>
  <si>
    <t>Bark 6</t>
  </si>
  <si>
    <t>I564</t>
  </si>
  <si>
    <t>Nude woman 1</t>
  </si>
  <si>
    <t>I50</t>
  </si>
  <si>
    <t>Bark 2</t>
  </si>
  <si>
    <t>I659</t>
  </si>
  <si>
    <t>Railroad 1</t>
  </si>
  <si>
    <t>I589</t>
  </si>
  <si>
    <t>Office supplies 4</t>
  </si>
  <si>
    <t>I195</t>
  </si>
  <si>
    <t>Cups 1</t>
  </si>
  <si>
    <t>I581</t>
  </si>
  <si>
    <t>Nude woman 18</t>
  </si>
  <si>
    <t>I658</t>
  </si>
  <si>
    <t>Rafting 6</t>
  </si>
  <si>
    <t>I523</t>
  </si>
  <si>
    <t>Neutral face 5</t>
  </si>
  <si>
    <t>I746</t>
  </si>
  <si>
    <t>Sidewalk 3</t>
  </si>
  <si>
    <t>I395</t>
  </si>
  <si>
    <t>Gazing 7</t>
  </si>
  <si>
    <t>I842</t>
  </si>
  <si>
    <t>Timber 4</t>
  </si>
  <si>
    <t>I893</t>
  </si>
  <si>
    <t>Yarn 3</t>
  </si>
  <si>
    <t>I669</t>
  </si>
  <si>
    <t>Rocks 2</t>
  </si>
  <si>
    <t>I824</t>
  </si>
  <si>
    <t>Swingset 1</t>
  </si>
  <si>
    <t>I316</t>
  </si>
  <si>
    <t>Fence 6</t>
  </si>
  <si>
    <t>I744</t>
  </si>
  <si>
    <t>Sidewalk 1</t>
  </si>
  <si>
    <t>I670</t>
  </si>
  <si>
    <t>Rocks 3</t>
  </si>
  <si>
    <t>I674</t>
  </si>
  <si>
    <t>Rocks 7</t>
  </si>
  <si>
    <t>I321</t>
  </si>
  <si>
    <t>Fire 4</t>
  </si>
  <si>
    <t>I683</t>
  </si>
  <si>
    <t>Rooster 1</t>
  </si>
  <si>
    <t>Flickr/Craig Marren</t>
  </si>
  <si>
    <t>I176</t>
  </si>
  <si>
    <t>Cold 6</t>
  </si>
  <si>
    <t>I105</t>
  </si>
  <si>
    <t>Camping 2</t>
  </si>
  <si>
    <t>I449</t>
  </si>
  <si>
    <t>Keyboard 3</t>
  </si>
  <si>
    <t>I840</t>
  </si>
  <si>
    <t>Timber 2</t>
  </si>
  <si>
    <t>I786</t>
  </si>
  <si>
    <t>Soldiers 5</t>
  </si>
  <si>
    <t>I424</t>
  </si>
  <si>
    <t>Hang gliding 3</t>
  </si>
  <si>
    <t>I286</t>
  </si>
  <si>
    <t>Drink 2</t>
  </si>
  <si>
    <t>I778</t>
  </si>
  <si>
    <t>Soccer 1</t>
  </si>
  <si>
    <t>I599</t>
  </si>
  <si>
    <t>Paper 5</t>
  </si>
  <si>
    <t>I834</t>
  </si>
  <si>
    <t>Thunderstorm 10</t>
  </si>
  <si>
    <t>I124</t>
  </si>
  <si>
    <t>Car race 2</t>
  </si>
  <si>
    <t>I832</t>
  </si>
  <si>
    <t>Thunderstorm 8</t>
  </si>
  <si>
    <t>I582</t>
  </si>
  <si>
    <t>Nude woman 19</t>
  </si>
  <si>
    <t>I583</t>
  </si>
  <si>
    <t>Nude woman 20</t>
  </si>
  <si>
    <t>I759</t>
  </si>
  <si>
    <t>Skydiving 5</t>
  </si>
  <si>
    <t>I858</t>
  </si>
  <si>
    <t>Volcano 3</t>
  </si>
  <si>
    <t>I123</t>
  </si>
  <si>
    <t>Car race 1</t>
  </si>
  <si>
    <t>I125</t>
  </si>
  <si>
    <t>Car race 3</t>
  </si>
  <si>
    <t>I428</t>
  </si>
  <si>
    <t>Happy pose 1</t>
  </si>
  <si>
    <t>I194</t>
  </si>
  <si>
    <t>Crow 2</t>
  </si>
  <si>
    <t>I478</t>
  </si>
  <si>
    <t>Lightning 5</t>
  </si>
  <si>
    <t>I808</t>
  </si>
  <si>
    <t>Sun 1</t>
  </si>
  <si>
    <t>I68</t>
  </si>
  <si>
    <t>Bear 2</t>
  </si>
  <si>
    <t>Flickr/Tim Williams</t>
  </si>
  <si>
    <t>I633</t>
  </si>
  <si>
    <t>Pinecone 2</t>
  </si>
  <si>
    <t>I201</t>
  </si>
  <si>
    <t>Dancing 3</t>
  </si>
  <si>
    <t>I332</t>
  </si>
  <si>
    <t>Fire hydrant 4</t>
  </si>
  <si>
    <t>I480</t>
  </si>
  <si>
    <t>Lightning 7</t>
  </si>
  <si>
    <t>I161</t>
  </si>
  <si>
    <t>City 1</t>
  </si>
  <si>
    <t>I42</t>
  </si>
  <si>
    <t>Band 1</t>
  </si>
  <si>
    <t>I477</t>
  </si>
  <si>
    <t>Lightning 4</t>
  </si>
  <si>
    <t>I748</t>
  </si>
  <si>
    <t>Sidewalk 5</t>
  </si>
  <si>
    <t>I78</t>
  </si>
  <si>
    <t>Bird 5</t>
  </si>
  <si>
    <t>I10</t>
  </si>
  <si>
    <t>Alcohol 7</t>
  </si>
  <si>
    <t>I460</t>
  </si>
  <si>
    <t>Lake 6</t>
  </si>
  <si>
    <t>I672</t>
  </si>
  <si>
    <t>Rocks 5</t>
  </si>
  <si>
    <t>I662</t>
  </si>
  <si>
    <t>Research 1</t>
  </si>
  <si>
    <t>I831</t>
  </si>
  <si>
    <t>Thunderstorm 7</t>
  </si>
  <si>
    <t>I479</t>
  </si>
  <si>
    <t>Lightning 6</t>
  </si>
  <si>
    <t>I46</t>
  </si>
  <si>
    <t>Bar 3</t>
  </si>
  <si>
    <t>I389</t>
  </si>
  <si>
    <t>Gazing 1</t>
  </si>
  <si>
    <t>I761</t>
  </si>
  <si>
    <t>Skyscraper 2</t>
  </si>
  <si>
    <t>I751</t>
  </si>
  <si>
    <t>Skijump 1</t>
  </si>
  <si>
    <t>I540</t>
  </si>
  <si>
    <t>Nude couple 14</t>
  </si>
  <si>
    <t>I830</t>
  </si>
  <si>
    <t>Thunderstorm 6</t>
  </si>
  <si>
    <t>I619</t>
  </si>
  <si>
    <t>Phone 1</t>
  </si>
  <si>
    <t>I163</t>
  </si>
  <si>
    <t>Cliff diver 1</t>
  </si>
  <si>
    <t>I301</t>
  </si>
  <si>
    <t>Exercise 3</t>
  </si>
  <si>
    <t>I73</t>
  </si>
  <si>
    <t>Billiards 1</t>
  </si>
  <si>
    <t>I2</t>
  </si>
  <si>
    <t>Acorns 2</t>
  </si>
  <si>
    <t>I671</t>
  </si>
  <si>
    <t>Rocks 4</t>
  </si>
  <si>
    <t>I630</t>
  </si>
  <si>
    <t>Pigeon 5</t>
  </si>
  <si>
    <t>I799</t>
  </si>
  <si>
    <t>Stingray 3</t>
  </si>
  <si>
    <t>I9</t>
  </si>
  <si>
    <t>Alcohol 6</t>
  </si>
  <si>
    <t>I654</t>
  </si>
  <si>
    <t>Rafting 2</t>
  </si>
  <si>
    <t>I624</t>
  </si>
  <si>
    <t>Pig 1</t>
  </si>
  <si>
    <t>I29</t>
  </si>
  <si>
    <t>Archery 2</t>
  </si>
  <si>
    <t>I627</t>
  </si>
  <si>
    <t>Pigeon 2</t>
  </si>
  <si>
    <t>I797</t>
  </si>
  <si>
    <t>Stingray 1</t>
  </si>
  <si>
    <t>I607</t>
  </si>
  <si>
    <t>Parachuting 4</t>
  </si>
  <si>
    <t>I569</t>
  </si>
  <si>
    <t>Nude woman 6</t>
  </si>
  <si>
    <t>I803</t>
  </si>
  <si>
    <t>Street 1</t>
  </si>
  <si>
    <t>I635</t>
  </si>
  <si>
    <t>Pinecone 4</t>
  </si>
  <si>
    <t>I774</t>
  </si>
  <si>
    <t>Snow 2</t>
  </si>
  <si>
    <t>I562</t>
  </si>
  <si>
    <t>Nude man 22</t>
  </si>
  <si>
    <t>I285</t>
  </si>
  <si>
    <t>Drink 1</t>
  </si>
  <si>
    <t>I626</t>
  </si>
  <si>
    <t>Pigeon 1</t>
  </si>
  <si>
    <t>I843</t>
  </si>
  <si>
    <t>Toast 1</t>
  </si>
  <si>
    <t>I775</t>
  </si>
  <si>
    <t>Snow 3</t>
  </si>
  <si>
    <t>I745</t>
  </si>
  <si>
    <t>Sidewalk 2</t>
  </si>
  <si>
    <t>I84</t>
  </si>
  <si>
    <t>Boat 1</t>
  </si>
  <si>
    <t>I514</t>
  </si>
  <si>
    <t>Motocross 1</t>
  </si>
  <si>
    <t>I601</t>
  </si>
  <si>
    <t>Paperclips 2</t>
  </si>
  <si>
    <t>I558</t>
  </si>
  <si>
    <t>Nude man 19</t>
  </si>
  <si>
    <t>I280</t>
  </si>
  <si>
    <t>Dog 30</t>
  </si>
  <si>
    <r>
      <rPr>
        <rFont val="&quot;Helvetica Neue&quot;"/>
        <color rgb="FF1155CC"/>
        <sz val="8.0"/>
        <u/>
      </rPr>
      <t>All-free-download.com</t>
    </r>
  </si>
  <si>
    <t>I476</t>
  </si>
  <si>
    <t>Lightning 3</t>
  </si>
  <si>
    <t>I360</t>
  </si>
  <si>
    <t>Football player 1</t>
  </si>
  <si>
    <t>I704</t>
  </si>
  <si>
    <t>Sailing 1</t>
  </si>
  <si>
    <t>I779</t>
  </si>
  <si>
    <t>Soccer 2</t>
  </si>
  <si>
    <t>I833</t>
  </si>
  <si>
    <t>Thunderstorm 9</t>
  </si>
  <si>
    <t>I708</t>
  </si>
  <si>
    <t>Scared cat 1</t>
  </si>
  <si>
    <t>I804</t>
  </si>
  <si>
    <t>Street 2</t>
  </si>
  <si>
    <t>I584</t>
  </si>
  <si>
    <t>Nude woman 21</t>
  </si>
  <si>
    <t>Flickr/Christian Hernandez</t>
  </si>
  <si>
    <t>I102</t>
  </si>
  <si>
    <t>Bungee jumping 2</t>
  </si>
  <si>
    <t>I854</t>
  </si>
  <si>
    <t>Traffic 1</t>
  </si>
  <si>
    <t>I484</t>
  </si>
  <si>
    <t>Lion 4</t>
  </si>
  <si>
    <t>Flickr/Glen Bowman</t>
  </si>
  <si>
    <t>I628</t>
  </si>
  <si>
    <t>Pigeon 3</t>
  </si>
  <si>
    <t>I773</t>
  </si>
  <si>
    <t>Snow 1</t>
  </si>
  <si>
    <t>I51</t>
  </si>
  <si>
    <t>Bark 3</t>
  </si>
  <si>
    <t>I724</t>
  </si>
  <si>
    <t>Seal 1</t>
  </si>
  <si>
    <t>I632</t>
  </si>
  <si>
    <t>Pinecone 1</t>
  </si>
  <si>
    <t>I298</t>
  </si>
  <si>
    <t>Excited face 7</t>
  </si>
  <si>
    <t>I754</t>
  </si>
  <si>
    <t>Sky 1</t>
  </si>
  <si>
    <t>I585</t>
  </si>
  <si>
    <t>Nude woman 22</t>
  </si>
  <si>
    <t>Flickr/Jenna Jameson</t>
  </si>
  <si>
    <t>I489</t>
  </si>
  <si>
    <t>Memorial 1</t>
  </si>
  <si>
    <t>I785</t>
  </si>
  <si>
    <t>Soldiers 4</t>
  </si>
  <si>
    <t>I47</t>
  </si>
  <si>
    <t>Barbeque 1</t>
  </si>
  <si>
    <t>I431</t>
  </si>
  <si>
    <t>Heart 1</t>
  </si>
  <si>
    <t>I544</t>
  </si>
  <si>
    <t>Nude man 5</t>
  </si>
  <si>
    <t>Flickr/Travis75</t>
  </si>
  <si>
    <t>I299</t>
  </si>
  <si>
    <t>Exercise 1</t>
  </si>
  <si>
    <t>I668</t>
  </si>
  <si>
    <t>Rocks 1</t>
  </si>
  <si>
    <t>I579</t>
  </si>
  <si>
    <t>Nude woman 16</t>
  </si>
  <si>
    <t>Flickr/++</t>
  </si>
  <si>
    <t>I821</t>
  </si>
  <si>
    <t>Surprise 1</t>
  </si>
  <si>
    <t>I4</t>
  </si>
  <si>
    <t>Alcohol 1</t>
  </si>
  <si>
    <t>I300</t>
  </si>
  <si>
    <t>Exercise 2</t>
  </si>
  <si>
    <t>I1</t>
  </si>
  <si>
    <t>Acorns 1</t>
  </si>
  <si>
    <t>I367</t>
  </si>
  <si>
    <t>Frustrated pose 6</t>
  </si>
  <si>
    <t>Flickr/Emergency Brake</t>
  </si>
  <si>
    <t>I625</t>
  </si>
  <si>
    <t>Pig 2</t>
  </si>
  <si>
    <t>I618</t>
  </si>
  <si>
    <t>Performance 2</t>
  </si>
  <si>
    <t>I665</t>
  </si>
  <si>
    <t>Rock climbing 2</t>
  </si>
  <si>
    <t>I436</t>
  </si>
  <si>
    <t>House 1</t>
  </si>
  <si>
    <t>I193</t>
  </si>
  <si>
    <t>Crow 1</t>
  </si>
  <si>
    <t>I520</t>
  </si>
  <si>
    <t>Neutral face 2</t>
  </si>
  <si>
    <t>I135</t>
  </si>
  <si>
    <t>Cat 6</t>
  </si>
  <si>
    <t>I242</t>
  </si>
  <si>
    <t>Doctor 1</t>
  </si>
  <si>
    <t>I197</t>
  </si>
  <si>
    <t>Cups 3</t>
  </si>
  <si>
    <t>I172</t>
  </si>
  <si>
    <t>Cold 2</t>
  </si>
  <si>
    <t>I837</t>
  </si>
  <si>
    <t>Tiger 1</t>
  </si>
  <si>
    <t>I433</t>
  </si>
  <si>
    <t>Heart 3</t>
  </si>
  <si>
    <t>I551</t>
  </si>
  <si>
    <t>Nude man 12</t>
  </si>
  <si>
    <t>Flickr/Chris Hunkeler</t>
  </si>
  <si>
    <t>I829</t>
  </si>
  <si>
    <t>Thunderstorm 5</t>
  </si>
  <si>
    <t>I45</t>
  </si>
  <si>
    <t>Bar 2</t>
  </si>
  <si>
    <t>I537</t>
  </si>
  <si>
    <t>Nude couple 11</t>
  </si>
  <si>
    <t>I798</t>
  </si>
  <si>
    <t>Stingray 2</t>
  </si>
  <si>
    <t>I3</t>
  </si>
  <si>
    <t>Acorns 3</t>
  </si>
  <si>
    <t>I565</t>
  </si>
  <si>
    <t>Nude woman 2</t>
  </si>
  <si>
    <t>I566</t>
  </si>
  <si>
    <t>Nude woman 3</t>
  </si>
  <si>
    <t>I137</t>
  </si>
  <si>
    <t>Cat 8</t>
  </si>
  <si>
    <t>Flickr/Markus Schoepke</t>
  </si>
  <si>
    <t>I543</t>
  </si>
  <si>
    <t>Nude man 4</t>
  </si>
  <si>
    <t>Flickr/Swire</t>
  </si>
  <si>
    <t>I653</t>
  </si>
  <si>
    <t>Rafting 1</t>
  </si>
  <si>
    <t>I7</t>
  </si>
  <si>
    <t>Alcohol 4</t>
  </si>
  <si>
    <t>I687</t>
  </si>
  <si>
    <t>Running away 1</t>
  </si>
  <si>
    <t>I97</t>
  </si>
  <si>
    <t>Bubble 1</t>
  </si>
  <si>
    <t>I100</t>
  </si>
  <si>
    <t>Building 2</t>
  </si>
  <si>
    <t>I719</t>
  </si>
  <si>
    <t>School 4</t>
  </si>
  <si>
    <t>I91</t>
  </si>
  <si>
    <t>Bored pose 6</t>
  </si>
  <si>
    <t>I666</t>
  </si>
  <si>
    <t>Rock climbing 3</t>
  </si>
  <si>
    <t>I622</t>
  </si>
  <si>
    <t>Picnic 3</t>
  </si>
  <si>
    <t>I664</t>
  </si>
  <si>
    <t>Rock climbing 1</t>
  </si>
  <si>
    <t>I614</t>
  </si>
  <si>
    <t>Path 1</t>
  </si>
  <si>
    <t>I720</t>
  </si>
  <si>
    <t>School 5</t>
  </si>
  <si>
    <t>I777</t>
  </si>
  <si>
    <t>Snow 5</t>
  </si>
  <si>
    <t>I613</t>
  </si>
  <si>
    <t>Party 1</t>
  </si>
  <si>
    <t>I546</t>
  </si>
  <si>
    <t>Nude man 7</t>
  </si>
  <si>
    <t>Flickr/O. G.</t>
  </si>
  <si>
    <t>I521</t>
  </si>
  <si>
    <t>Neutral face 3</t>
  </si>
  <si>
    <t>I354</t>
  </si>
  <si>
    <t>Food 1</t>
  </si>
  <si>
    <t>I474</t>
  </si>
  <si>
    <t>Lightning 1</t>
  </si>
  <si>
    <t>I651</t>
  </si>
  <si>
    <t>Pumpkin 1</t>
  </si>
  <si>
    <t>I752</t>
  </si>
  <si>
    <t>Skijump 2</t>
  </si>
  <si>
    <t>I392</t>
  </si>
  <si>
    <t>Gazing 4</t>
  </si>
  <si>
    <t>I500</t>
  </si>
  <si>
    <t>Monkey 1</t>
  </si>
  <si>
    <t>I542</t>
  </si>
  <si>
    <t>Nude man 2</t>
  </si>
  <si>
    <t>Flickr/Charles Roffey</t>
  </si>
  <si>
    <t>I555</t>
  </si>
  <si>
    <t>Nude man 16</t>
  </si>
  <si>
    <t>Flickr/David Shankbone</t>
  </si>
  <si>
    <t>I173</t>
  </si>
  <si>
    <t>Cold 3</t>
  </si>
  <si>
    <t>I806</t>
  </si>
  <si>
    <t>Street 4</t>
  </si>
  <si>
    <t>I318</t>
  </si>
  <si>
    <t>Fire 1</t>
  </si>
  <si>
    <t>I784</t>
  </si>
  <si>
    <t>Soldiers 3</t>
  </si>
  <si>
    <t>I541</t>
  </si>
  <si>
    <t>Nude man 1</t>
  </si>
  <si>
    <t>I145</t>
  </si>
  <si>
    <t>Celebration 2</t>
  </si>
  <si>
    <t>I405</t>
  </si>
  <si>
    <t>Grass 7</t>
  </si>
  <si>
    <t>I885</t>
  </si>
  <si>
    <t>Wedding 12</t>
  </si>
  <si>
    <t>I44</t>
  </si>
  <si>
    <t>Bar 1</t>
  </si>
  <si>
    <t>I247</t>
  </si>
  <si>
    <t>Doctor 6</t>
  </si>
  <si>
    <t>I432</t>
  </si>
  <si>
    <t>Heart 2</t>
  </si>
  <si>
    <t>I244</t>
  </si>
  <si>
    <t>Doctor 3</t>
  </si>
  <si>
    <t>I553</t>
  </si>
  <si>
    <t>Nude man 14</t>
  </si>
  <si>
    <t>Flickr/See-ming Lee</t>
  </si>
  <si>
    <t>I112</t>
  </si>
  <si>
    <t>Camping 10</t>
  </si>
  <si>
    <t>I592</t>
  </si>
  <si>
    <t>Orangutan 1</t>
  </si>
  <si>
    <t>I400</t>
  </si>
  <si>
    <t>Grass 2</t>
  </si>
  <si>
    <t>I403</t>
  </si>
  <si>
    <t>Grass 5</t>
  </si>
  <si>
    <t>I483</t>
  </si>
  <si>
    <t>Lion 3</t>
  </si>
  <si>
    <t>Flickr/arlo</t>
  </si>
  <si>
    <t>I488</t>
  </si>
  <si>
    <t>Meerkat 1</t>
  </si>
  <si>
    <t>I499</t>
  </si>
  <si>
    <t>Money 1</t>
  </si>
  <si>
    <t>I56</t>
  </si>
  <si>
    <t>BDSM 1</t>
  </si>
  <si>
    <t>I692</t>
  </si>
  <si>
    <t>Sad face 5</t>
  </si>
  <si>
    <t>I399</t>
  </si>
  <si>
    <t>Grass 1</t>
  </si>
  <si>
    <t>I560</t>
  </si>
  <si>
    <t>Nude man 3</t>
  </si>
  <si>
    <t>I552</t>
  </si>
  <si>
    <t>Nude man 13</t>
  </si>
  <si>
    <t>Flickr/Sasha Kargaltsev</t>
  </si>
  <si>
    <t>I28</t>
  </si>
  <si>
    <t>Archery 1</t>
  </si>
  <si>
    <t>I642</t>
  </si>
  <si>
    <t>Police 3</t>
  </si>
  <si>
    <t>I187</t>
  </si>
  <si>
    <t>Couple 5</t>
  </si>
  <si>
    <t>I153</t>
  </si>
  <si>
    <t>Child labor 1</t>
  </si>
  <si>
    <t>I98</t>
  </si>
  <si>
    <t>Bubble 2</t>
  </si>
  <si>
    <t>I781</t>
  </si>
  <si>
    <t>Solar panel 1</t>
  </si>
  <si>
    <t>I401</t>
  </si>
  <si>
    <t>Grass 3</t>
  </si>
  <si>
    <t>I295</t>
  </si>
  <si>
    <t>Excited face 4</t>
  </si>
  <si>
    <t>I884</t>
  </si>
  <si>
    <t>Wedding 11</t>
  </si>
  <si>
    <t>I481</t>
  </si>
  <si>
    <t>Lion 1</t>
  </si>
  <si>
    <t>I667</t>
  </si>
  <si>
    <t>Rock climbing 4</t>
  </si>
  <si>
    <t>I99</t>
  </si>
  <si>
    <t>Building 1</t>
  </si>
  <si>
    <t>I796</t>
  </si>
  <si>
    <t>Statue 2</t>
  </si>
  <si>
    <t>I685</t>
  </si>
  <si>
    <t>Rugby 1</t>
  </si>
  <si>
    <t>I162</t>
  </si>
  <si>
    <t>Clean 1</t>
  </si>
  <si>
    <t>I113</t>
  </si>
  <si>
    <t>Candle 1</t>
  </si>
  <si>
    <t>I792</t>
  </si>
  <si>
    <t>Soup 1</t>
  </si>
  <si>
    <t>I826</t>
  </si>
  <si>
    <t>Thunderstorm 2</t>
  </si>
  <si>
    <t>I101</t>
  </si>
  <si>
    <t>Bungee jumping 1</t>
  </si>
  <si>
    <t>I663</t>
  </si>
  <si>
    <t>Road 1</t>
  </si>
  <si>
    <t>I805</t>
  </si>
  <si>
    <t>Street 3</t>
  </si>
  <si>
    <t>I787</t>
  </si>
  <si>
    <t>Soldiers 6</t>
  </si>
  <si>
    <t>I155</t>
  </si>
  <si>
    <t>Child labor 3</t>
  </si>
  <si>
    <t>I243</t>
  </si>
  <si>
    <t>Doctor 2</t>
  </si>
  <si>
    <t>I707</t>
  </si>
  <si>
    <t>Satellite 1</t>
  </si>
  <si>
    <t>I174</t>
  </si>
  <si>
    <t>Cold 4</t>
  </si>
  <si>
    <t>I156</t>
  </si>
  <si>
    <t>Child labor 4</t>
  </si>
  <si>
    <t>I783</t>
  </si>
  <si>
    <t>Soldiers 2</t>
  </si>
  <si>
    <t>I185</t>
  </si>
  <si>
    <t>Couple 3</t>
  </si>
  <si>
    <t>I817</t>
  </si>
  <si>
    <t>Surgery 2</t>
  </si>
  <si>
    <t>I545</t>
  </si>
  <si>
    <t>Nude man 6</t>
  </si>
  <si>
    <t>Flickr/sea turtle</t>
  </si>
  <si>
    <t>I820</t>
  </si>
  <si>
    <t>Surgery 5</t>
  </si>
  <si>
    <t>I272</t>
  </si>
  <si>
    <t>Dog 22</t>
  </si>
  <si>
    <t>I111</t>
  </si>
  <si>
    <t>Camping 9</t>
  </si>
  <si>
    <t>I677</t>
  </si>
  <si>
    <t>Rollercoaster 3</t>
  </si>
  <si>
    <t>I563</t>
  </si>
  <si>
    <t>Nude man 23</t>
  </si>
  <si>
    <t>I765</t>
  </si>
  <si>
    <t>Sleepy pose 4</t>
  </si>
  <si>
    <t>Flickr/matt</t>
  </si>
  <si>
    <t>I629</t>
  </si>
  <si>
    <t>Pigeon 4</t>
  </si>
  <si>
    <t>I519</t>
  </si>
  <si>
    <t>Neutral face 1</t>
  </si>
  <si>
    <t>I604</t>
  </si>
  <si>
    <t>Parachuting 1</t>
  </si>
  <si>
    <t>I58</t>
  </si>
  <si>
    <t>BDSM 3</t>
  </si>
  <si>
    <t>I57</t>
  </si>
  <si>
    <t>BDSM 2</t>
  </si>
  <si>
    <t>I709</t>
  </si>
  <si>
    <t>Scared face 1</t>
  </si>
  <si>
    <t>I251</t>
  </si>
  <si>
    <t>Dog 1</t>
  </si>
  <si>
    <t>I611</t>
  </si>
  <si>
    <t>Parasailing 3</t>
  </si>
  <si>
    <t>I522</t>
  </si>
  <si>
    <t>Neutral face 4</t>
  </si>
  <si>
    <t>I67</t>
  </si>
  <si>
    <t>Bear 1</t>
  </si>
  <si>
    <t>I108</t>
  </si>
  <si>
    <t>Camping 6</t>
  </si>
  <si>
    <t>I567</t>
  </si>
  <si>
    <t>Nude woman 4</t>
  </si>
  <si>
    <t>I554</t>
  </si>
  <si>
    <t>Nude man 15</t>
  </si>
  <si>
    <t>I404</t>
  </si>
  <si>
    <t>Grass 6</t>
  </si>
  <si>
    <t>I212</t>
  </si>
  <si>
    <t>Depressed face 2</t>
  </si>
  <si>
    <t>I245</t>
  </si>
  <si>
    <t>Doctor 4</t>
  </si>
  <si>
    <t>I526</t>
  </si>
  <si>
    <t>Neutral pose 3</t>
  </si>
  <si>
    <t>I90</t>
  </si>
  <si>
    <t>Bored pose 5</t>
  </si>
  <si>
    <r>
      <rPr>
        <rFont val="&quot;Helvetica Neue&quot;"/>
        <color rgb="FF1155CC"/>
        <sz val="8.0"/>
        <u/>
      </rPr>
      <t>All-free-download.com</t>
    </r>
  </si>
  <si>
    <t>I141</t>
  </si>
  <si>
    <t>Cat 12</t>
  </si>
  <si>
    <t>I710</t>
  </si>
  <si>
    <t>Scared face 2</t>
  </si>
  <si>
    <t>I211</t>
  </si>
  <si>
    <t>Depressed face 1</t>
  </si>
  <si>
    <t>I369</t>
  </si>
  <si>
    <t>Frustrated pose 8</t>
  </si>
  <si>
    <t>I397</t>
  </si>
  <si>
    <t>Goat 2</t>
  </si>
  <si>
    <t>I634</t>
  </si>
  <si>
    <t>Pinecone 3</t>
  </si>
  <si>
    <t>I93</t>
  </si>
  <si>
    <t>Boxing 1</t>
  </si>
  <si>
    <t>I249</t>
  </si>
  <si>
    <t>Doctor 8</t>
  </si>
  <si>
    <t>I556</t>
  </si>
  <si>
    <t>Nude man 17</t>
  </si>
  <si>
    <t>I764</t>
  </si>
  <si>
    <t>Sleepy pose 3</t>
  </si>
  <si>
    <t>Flickr/Kevin</t>
  </si>
  <si>
    <t>I114</t>
  </si>
  <si>
    <t>Car 1</t>
  </si>
  <si>
    <t>I402</t>
  </si>
  <si>
    <t>Grass 4</t>
  </si>
  <si>
    <t>I267</t>
  </si>
  <si>
    <t>Dog 17</t>
  </si>
  <si>
    <t>I755</t>
  </si>
  <si>
    <t>Skydiving 1</t>
  </si>
  <si>
    <t>I593</t>
  </si>
  <si>
    <t>Ornament 1</t>
  </si>
  <si>
    <t>I525</t>
  </si>
  <si>
    <t>Neutral pose 2</t>
  </si>
  <si>
    <t>I353</t>
  </si>
  <si>
    <t>Flowers 10</t>
  </si>
  <si>
    <t>I504</t>
  </si>
  <si>
    <t>Moon 1</t>
  </si>
  <si>
    <t>I94</t>
  </si>
  <si>
    <t>Boxing 2</t>
  </si>
  <si>
    <t>I739</t>
  </si>
  <si>
    <t>Shot 2</t>
  </si>
  <si>
    <t>I880</t>
  </si>
  <si>
    <t>Wedding 7</t>
  </si>
  <si>
    <t>I246</t>
  </si>
  <si>
    <t>Doctor 5</t>
  </si>
  <si>
    <t>I250</t>
  </si>
  <si>
    <t>Doctor 9</t>
  </si>
  <si>
    <t>I818</t>
  </si>
  <si>
    <t>Surgery 3</t>
  </si>
  <si>
    <t>I85</t>
  </si>
  <si>
    <t>Bored face 1</t>
  </si>
  <si>
    <t>Flickr</t>
  </si>
  <si>
    <t>I693</t>
  </si>
  <si>
    <t>Sad face 6</t>
  </si>
  <si>
    <t>I763</t>
  </si>
  <si>
    <t>Sleepy pose 2</t>
  </si>
  <si>
    <t>I705</t>
  </si>
  <si>
    <t>Sailing 2</t>
  </si>
  <si>
    <t>I698</t>
  </si>
  <si>
    <t>Sad pose 2</t>
  </si>
  <si>
    <t>I356</t>
  </si>
  <si>
    <t>Food 3</t>
  </si>
  <si>
    <t>I612</t>
  </si>
  <si>
    <t>Parasailing 4</t>
  </si>
  <si>
    <t>I110</t>
  </si>
  <si>
    <t>Camping 8</t>
  </si>
  <si>
    <t>I86</t>
  </si>
  <si>
    <t>Bored pose 1</t>
  </si>
  <si>
    <t>I277</t>
  </si>
  <si>
    <t>Dog 27</t>
  </si>
  <si>
    <t>I561</t>
  </si>
  <si>
    <t>Nude man 21</t>
  </si>
  <si>
    <t>I549</t>
  </si>
  <si>
    <t>Nude man 10</t>
  </si>
  <si>
    <t>I138</t>
  </si>
  <si>
    <t>Cat 9</t>
  </si>
  <si>
    <t>I8</t>
  </si>
  <si>
    <t>Alcohol 5</t>
  </si>
  <si>
    <t>I218</t>
  </si>
  <si>
    <t>Dessert 1</t>
  </si>
  <si>
    <t>I396</t>
  </si>
  <si>
    <t>Goat 1</t>
  </si>
  <si>
    <t>Flickr/Neil Piddock</t>
  </si>
  <si>
    <t>I557</t>
  </si>
  <si>
    <t>Nude man 18</t>
  </si>
  <si>
    <t>I795</t>
  </si>
  <si>
    <t>Statue 1</t>
  </si>
  <si>
    <t>I355</t>
  </si>
  <si>
    <t>Food 2</t>
  </si>
  <si>
    <t>I376</t>
  </si>
  <si>
    <t>Galaxy 6</t>
  </si>
  <si>
    <t>I492</t>
  </si>
  <si>
    <t>Miserable face 1</t>
  </si>
  <si>
    <t>I819</t>
  </si>
  <si>
    <t>Surgery 4</t>
  </si>
  <si>
    <t>I214</t>
  </si>
  <si>
    <t>Depressed pose 2</t>
  </si>
  <si>
    <t>I279</t>
  </si>
  <si>
    <t>Dog 29</t>
  </si>
  <si>
    <t>I559</t>
  </si>
  <si>
    <t>Nude man 20</t>
  </si>
  <si>
    <t>I140</t>
  </si>
  <si>
    <t>Cat 11</t>
  </si>
  <si>
    <t>I676</t>
  </si>
  <si>
    <t>Rollercoaster 2</t>
  </si>
  <si>
    <t>I790</t>
  </si>
  <si>
    <t>Soldiers 9</t>
  </si>
  <si>
    <t>I691</t>
  </si>
  <si>
    <t>Sad face 4</t>
  </si>
  <si>
    <t>I221</t>
  </si>
  <si>
    <t>Dessert 4</t>
  </si>
  <si>
    <t>I266</t>
  </si>
  <si>
    <t>Dog 16</t>
  </si>
  <si>
    <t>I866</t>
  </si>
  <si>
    <t>War 3</t>
  </si>
  <si>
    <t>I838</t>
  </si>
  <si>
    <t>Tiger 2</t>
  </si>
  <si>
    <t>I899</t>
  </si>
  <si>
    <t>Yoga 5</t>
  </si>
  <si>
    <t>I684</t>
  </si>
  <si>
    <t>Rubber duck 1</t>
  </si>
  <si>
    <t>I158</t>
  </si>
  <si>
    <t>Chipmunk 1</t>
  </si>
  <si>
    <t>I365</t>
  </si>
  <si>
    <t>Frustrated pose 4</t>
  </si>
  <si>
    <t>I548</t>
  </si>
  <si>
    <t>Nude man 9</t>
  </si>
  <si>
    <t>Flickr/Rodrigo S_ Barreto</t>
  </si>
  <si>
    <t>I130</t>
  </si>
  <si>
    <t>Cat 1</t>
  </si>
  <si>
    <t>I15</t>
  </si>
  <si>
    <t>Angry face 1</t>
  </si>
  <si>
    <t>I374</t>
  </si>
  <si>
    <t>Galaxy 4</t>
  </si>
  <si>
    <t>I258</t>
  </si>
  <si>
    <t>Dog 8</t>
  </si>
  <si>
    <t>I737</t>
  </si>
  <si>
    <t>Shooting 1</t>
  </si>
  <si>
    <t>I872</t>
  </si>
  <si>
    <t>Waterfall 1</t>
  </si>
  <si>
    <t>I248</t>
  </si>
  <si>
    <t>Doctor 7</t>
  </si>
  <si>
    <t>I702</t>
  </si>
  <si>
    <t>Sad pose 6</t>
  </si>
  <si>
    <t>I643</t>
  </si>
  <si>
    <t>Police 4</t>
  </si>
  <si>
    <t>I675</t>
  </si>
  <si>
    <t>Rollercoaster 1</t>
  </si>
  <si>
    <t>I216</t>
  </si>
  <si>
    <t>Depressed pose 4</t>
  </si>
  <si>
    <t>I373</t>
  </si>
  <si>
    <t>Galaxy 3</t>
  </si>
  <si>
    <t>I706</t>
  </si>
  <si>
    <t>Sailing 3</t>
  </si>
  <si>
    <t>I139</t>
  </si>
  <si>
    <t>Cat 10</t>
  </si>
  <si>
    <t>I224</t>
  </si>
  <si>
    <t>Dessert 7</t>
  </si>
  <si>
    <t>I888</t>
  </si>
  <si>
    <t>Wolf 1</t>
  </si>
  <si>
    <t>I142</t>
  </si>
  <si>
    <t>Cat 13</t>
  </si>
  <si>
    <t>Flickr/Marjolein Knuit</t>
  </si>
  <si>
    <t>I747</t>
  </si>
  <si>
    <t>Sidewalk 4</t>
  </si>
  <si>
    <t>I69</t>
  </si>
  <si>
    <t>Bear 3</t>
  </si>
  <si>
    <t>I358</t>
  </si>
  <si>
    <t>Food 5</t>
  </si>
  <si>
    <t>I87</t>
  </si>
  <si>
    <t>Bored pose 2</t>
  </si>
  <si>
    <t>I870</t>
  </si>
  <si>
    <t>War 7</t>
  </si>
  <si>
    <t>I11</t>
  </si>
  <si>
    <t>Alcohol 8</t>
  </si>
  <si>
    <t>I75</t>
  </si>
  <si>
    <t>Bird 2</t>
  </si>
  <si>
    <t>I550</t>
  </si>
  <si>
    <t>Nude man 11</t>
  </si>
  <si>
    <t>I648</t>
  </si>
  <si>
    <t>Present 2</t>
  </si>
  <si>
    <t>I175</t>
  </si>
  <si>
    <t>Cold 5</t>
  </si>
  <si>
    <t>I131</t>
  </si>
  <si>
    <t>Cat 2</t>
  </si>
  <si>
    <t>I547</t>
  </si>
  <si>
    <t>Nude man 8</t>
  </si>
  <si>
    <t>Flickr/John Goodridge</t>
  </si>
  <si>
    <t>I647</t>
  </si>
  <si>
    <t>Present 1</t>
  </si>
  <si>
    <t>I61</t>
  </si>
  <si>
    <t>Beach 3</t>
  </si>
  <si>
    <t>I378</t>
  </si>
  <si>
    <t>Galaxy 8</t>
  </si>
  <si>
    <t>I178</t>
  </si>
  <si>
    <t>Cold 8</t>
  </si>
  <si>
    <t>I694</t>
  </si>
  <si>
    <t>Sad face 7</t>
  </si>
  <si>
    <t>I160</t>
  </si>
  <si>
    <t>Chipmunk 3</t>
  </si>
  <si>
    <t>I222</t>
  </si>
  <si>
    <t>Dessert 5</t>
  </si>
  <si>
    <t>I690</t>
  </si>
  <si>
    <t>Sad face 3</t>
  </si>
  <si>
    <t>I89</t>
  </si>
  <si>
    <t>Bored pose 4</t>
  </si>
  <si>
    <t>I170</t>
  </si>
  <si>
    <t>Coffee 1</t>
  </si>
  <si>
    <t>I77</t>
  </si>
  <si>
    <t>Bird 4</t>
  </si>
  <si>
    <t>I241</t>
  </si>
  <si>
    <t>Dock 1</t>
  </si>
  <si>
    <t>I701</t>
  </si>
  <si>
    <t>Sad pose 5</t>
  </si>
  <si>
    <t>I81</t>
  </si>
  <si>
    <t>Birthday 3</t>
  </si>
  <si>
    <t>I617</t>
  </si>
  <si>
    <t>Performance 1</t>
  </si>
  <si>
    <t>I333</t>
  </si>
  <si>
    <t>Fireman 1</t>
  </si>
  <si>
    <t>I896</t>
  </si>
  <si>
    <t>Yoga 2</t>
  </si>
  <si>
    <t>I88</t>
  </si>
  <si>
    <t>Bored pose 3</t>
  </si>
  <si>
    <t>I223</t>
  </si>
  <si>
    <t>Dessert 6</t>
  </si>
  <si>
    <t>I471</t>
  </si>
  <si>
    <t>Lake 17</t>
  </si>
  <si>
    <t>I16</t>
  </si>
  <si>
    <t>Angry face 2</t>
  </si>
  <si>
    <t>I278</t>
  </si>
  <si>
    <t>Dog 28</t>
  </si>
  <si>
    <t>Flickr/wplynn</t>
  </si>
  <si>
    <t>I63</t>
  </si>
  <si>
    <t>Beach 5</t>
  </si>
  <si>
    <t>I371</t>
  </si>
  <si>
    <t>Galaxy 1</t>
  </si>
  <si>
    <t>I237</t>
  </si>
  <si>
    <t>Dirt 2</t>
  </si>
  <si>
    <t>I753</t>
  </si>
  <si>
    <t>Skinhead 1</t>
  </si>
  <si>
    <t>I689</t>
  </si>
  <si>
    <t>Sad face 2</t>
  </si>
  <si>
    <t>I711</t>
  </si>
  <si>
    <t>Scared face 3</t>
  </si>
  <si>
    <t>I715</t>
  </si>
  <si>
    <t>Scary face 2</t>
  </si>
  <si>
    <t>I357</t>
  </si>
  <si>
    <t>Food 4</t>
  </si>
  <si>
    <t>I375</t>
  </si>
  <si>
    <t>Galaxy 5</t>
  </si>
  <si>
    <t>I881</t>
  </si>
  <si>
    <t>Wedding 8</t>
  </si>
  <si>
    <t>I713</t>
  </si>
  <si>
    <t>Scared face 5</t>
  </si>
  <si>
    <t>Flickr/Dee Teal</t>
  </si>
  <si>
    <t>I220</t>
  </si>
  <si>
    <t>Dessert 3</t>
  </si>
  <si>
    <t>I348</t>
  </si>
  <si>
    <t>Flowers 5</t>
  </si>
  <si>
    <t>I867</t>
  </si>
  <si>
    <t>War 4</t>
  </si>
  <si>
    <t>I260</t>
  </si>
  <si>
    <t>Dog 10</t>
  </si>
  <si>
    <t>I38</t>
  </si>
  <si>
    <t>Baby 7</t>
  </si>
  <si>
    <t>I712</t>
  </si>
  <si>
    <t>Scared face 4</t>
  </si>
  <si>
    <t>I498</t>
  </si>
  <si>
    <t>Miserable pose 5</t>
  </si>
  <si>
    <t>I257</t>
  </si>
  <si>
    <t>Dog 7</t>
  </si>
  <si>
    <t>I609</t>
  </si>
  <si>
    <t>Parasailing 1</t>
  </si>
  <si>
    <t>I359</t>
  </si>
  <si>
    <t>Food 6</t>
  </si>
  <si>
    <t>I816</t>
  </si>
  <si>
    <t>Surgery 1</t>
  </si>
  <si>
    <t>I261</t>
  </si>
  <si>
    <t>Dog 11</t>
  </si>
  <si>
    <t>I615</t>
  </si>
  <si>
    <t>Penguins 1</t>
  </si>
  <si>
    <t>I517</t>
  </si>
  <si>
    <t>Nature 2</t>
  </si>
  <si>
    <t>I697</t>
  </si>
  <si>
    <t>Sad pose 1</t>
  </si>
  <si>
    <t>I350</t>
  </si>
  <si>
    <t>Flowers 7</t>
  </si>
  <si>
    <t>I699</t>
  </si>
  <si>
    <t>Sad pose 3</t>
  </si>
  <si>
    <t>I19</t>
  </si>
  <si>
    <t>Angry face 5</t>
  </si>
  <si>
    <t>Flickr/Bart</t>
  </si>
  <si>
    <t>I700</t>
  </si>
  <si>
    <t>Sad pose 4</t>
  </si>
  <si>
    <t>I154</t>
  </si>
  <si>
    <t>Child labor 2</t>
  </si>
  <si>
    <t>I347</t>
  </si>
  <si>
    <t>Flowers 4</t>
  </si>
  <si>
    <t>I20</t>
  </si>
  <si>
    <t>Angry pose 1</t>
  </si>
  <si>
    <t>I143</t>
  </si>
  <si>
    <t>Cat 14</t>
  </si>
  <si>
    <t>Skeezix Scratching Post</t>
  </si>
  <si>
    <t>I441</t>
  </si>
  <si>
    <t>Intensity 1</t>
  </si>
  <si>
    <t>I465</t>
  </si>
  <si>
    <t>Lake 11</t>
  </si>
  <si>
    <t>Flickr/James Wheeler</t>
  </si>
  <si>
    <t>I21</t>
  </si>
  <si>
    <t>Angry pose 2</t>
  </si>
  <si>
    <t>Flickr/madstreetz</t>
  </si>
  <si>
    <t>I495</t>
  </si>
  <si>
    <t>Miserable pose 2</t>
  </si>
  <si>
    <t>I412</t>
  </si>
  <si>
    <t>Gun 2</t>
  </si>
  <si>
    <t>I159</t>
  </si>
  <si>
    <t>Chipmunk 2</t>
  </si>
  <si>
    <t>Flickr/Gilles Gonthier</t>
  </si>
  <si>
    <t>I703</t>
  </si>
  <si>
    <t>Sad pose 7</t>
  </si>
  <si>
    <t>I219</t>
  </si>
  <si>
    <t>Dessert 2</t>
  </si>
  <si>
    <t>I430</t>
  </si>
  <si>
    <t>Happy pose 3</t>
  </si>
  <si>
    <t>I253</t>
  </si>
  <si>
    <t>Dog 3</t>
  </si>
  <si>
    <t>I340</t>
  </si>
  <si>
    <t>Fireworks 7</t>
  </si>
  <si>
    <t>I368</t>
  </si>
  <si>
    <t>Frustrated pose 7</t>
  </si>
  <si>
    <t>I472</t>
  </si>
  <si>
    <t>Lamb 1</t>
  </si>
  <si>
    <t>I886</t>
  </si>
  <si>
    <t>Wedding ring 1</t>
  </si>
  <si>
    <t>I213</t>
  </si>
  <si>
    <t>Depressed pose 1</t>
  </si>
  <si>
    <t>I688</t>
  </si>
  <si>
    <t>Sad face 1</t>
  </si>
  <si>
    <t>I344</t>
  </si>
  <si>
    <t>Flowers 1</t>
  </si>
  <si>
    <t>I215</t>
  </si>
  <si>
    <t>Depressed pose 3</t>
  </si>
  <si>
    <t>I363</t>
  </si>
  <si>
    <t>Frustrated pose 2</t>
  </si>
  <si>
    <t>I372</t>
  </si>
  <si>
    <t>Galaxy 2</t>
  </si>
  <si>
    <t>I695</t>
  </si>
  <si>
    <t>Sad face 8</t>
  </si>
  <si>
    <t>I788</t>
  </si>
  <si>
    <t>Soldiers 7</t>
  </si>
  <si>
    <t>I79</t>
  </si>
  <si>
    <t>Birthday 1</t>
  </si>
  <si>
    <t>I458</t>
  </si>
  <si>
    <t>Lake 4</t>
  </si>
  <si>
    <t>I346</t>
  </si>
  <si>
    <t>Flowers 3</t>
  </si>
  <si>
    <t>I640</t>
  </si>
  <si>
    <t>Police 1</t>
  </si>
  <si>
    <t>I493</t>
  </si>
  <si>
    <t>Miserable face 2</t>
  </si>
  <si>
    <t>I338</t>
  </si>
  <si>
    <t>Fireworks 5</t>
  </si>
  <si>
    <t>I762</t>
  </si>
  <si>
    <t>Sleepy pose 1</t>
  </si>
  <si>
    <t>I900</t>
  </si>
  <si>
    <t>Zebra 1</t>
  </si>
  <si>
    <t>I497</t>
  </si>
  <si>
    <t>Miserable pose 4</t>
  </si>
  <si>
    <t>I815</t>
  </si>
  <si>
    <t>Sunset 6</t>
  </si>
  <si>
    <t>I877</t>
  </si>
  <si>
    <t>Wedding 4</t>
  </si>
  <si>
    <t>I494</t>
  </si>
  <si>
    <t>Miserable pose 1</t>
  </si>
  <si>
    <t>I789</t>
  </si>
  <si>
    <t>Soldiers 8</t>
  </si>
  <si>
    <t>I17</t>
  </si>
  <si>
    <t>Angry face 3</t>
  </si>
  <si>
    <t>I133</t>
  </si>
  <si>
    <t>Cat 4</t>
  </si>
  <si>
    <t>I18</t>
  </si>
  <si>
    <t>Angry face 4</t>
  </si>
  <si>
    <t>Flickr/Jan Tik</t>
  </si>
  <si>
    <t>I263</t>
  </si>
  <si>
    <t>Dog 13</t>
  </si>
  <si>
    <t>Flickr/Waldo Jaquith</t>
  </si>
  <si>
    <t>I66</t>
  </si>
  <si>
    <t>Beach 8</t>
  </si>
  <si>
    <t>I366</t>
  </si>
  <si>
    <t>Frustrated pose 5</t>
  </si>
  <si>
    <t>I291</t>
  </si>
  <si>
    <t>Elephant 1</t>
  </si>
  <si>
    <t>I644</t>
  </si>
  <si>
    <t>Police 5</t>
  </si>
  <si>
    <t>I809</t>
  </si>
  <si>
    <t>Sunflower 1</t>
  </si>
  <si>
    <t>I814</t>
  </si>
  <si>
    <t>Sunset 5</t>
  </si>
  <si>
    <t>I264</t>
  </si>
  <si>
    <t>Dog 14</t>
  </si>
  <si>
    <t>Flickr/hairygrumpy</t>
  </si>
  <si>
    <t>I352</t>
  </si>
  <si>
    <t>Flowers 9</t>
  </si>
  <si>
    <t>I96</t>
  </si>
  <si>
    <t>Bridge 1</t>
  </si>
  <si>
    <t>I252</t>
  </si>
  <si>
    <t>Dog 2</t>
  </si>
  <si>
    <t>I270</t>
  </si>
  <si>
    <t>Dog 20</t>
  </si>
  <si>
    <t>I425</t>
  </si>
  <si>
    <t>Hangover 1</t>
  </si>
  <si>
    <t>I74</t>
  </si>
  <si>
    <t>Bird 1</t>
  </si>
  <si>
    <t>I351</t>
  </si>
  <si>
    <t>Flowers 8</t>
  </si>
  <si>
    <t>I641</t>
  </si>
  <si>
    <t>Police 2</t>
  </si>
  <si>
    <t>I362</t>
  </si>
  <si>
    <t>Frustrated pose 1</t>
  </si>
  <si>
    <t>I364</t>
  </si>
  <si>
    <t>Frustrated pose 3</t>
  </si>
  <si>
    <t>I62</t>
  </si>
  <si>
    <t>Beach 4</t>
  </si>
  <si>
    <t>I696</t>
  </si>
  <si>
    <t>Sad face 9</t>
  </si>
  <si>
    <t>I434</t>
  </si>
  <si>
    <t>Horse 1</t>
  </si>
  <si>
    <t>I438</t>
  </si>
  <si>
    <t>Injury 2</t>
  </si>
  <si>
    <t>I255</t>
  </si>
  <si>
    <t>Dog 5</t>
  </si>
  <si>
    <t>I269</t>
  </si>
  <si>
    <t>Dog 19</t>
  </si>
  <si>
    <t>I349</t>
  </si>
  <si>
    <t>Flowers 6</t>
  </si>
  <si>
    <t>I459</t>
  </si>
  <si>
    <t>Lake 5</t>
  </si>
  <si>
    <t>I345</t>
  </si>
  <si>
    <t>Flowers 2</t>
  </si>
  <si>
    <t>I337</t>
  </si>
  <si>
    <t>Fireworks 4</t>
  </si>
  <si>
    <t>I457</t>
  </si>
  <si>
    <t>Lake 3</t>
  </si>
  <si>
    <t>I518</t>
  </si>
  <si>
    <t>Neonazi 1</t>
  </si>
  <si>
    <t>I439</t>
  </si>
  <si>
    <t>Injury 3</t>
  </si>
  <si>
    <t>I271</t>
  </si>
  <si>
    <t>Dog 21</t>
  </si>
  <si>
    <t>I132</t>
  </si>
  <si>
    <t>Cat 3</t>
  </si>
  <si>
    <t>I437</t>
  </si>
  <si>
    <t>Injury 1</t>
  </si>
  <si>
    <t>I811</t>
  </si>
  <si>
    <t>Sunset 2</t>
  </si>
  <si>
    <t>I714</t>
  </si>
  <si>
    <t>Scary face 1</t>
  </si>
  <si>
    <t>Flickr/Filemon Pi</t>
  </si>
  <si>
    <t>I864</t>
  </si>
  <si>
    <t>War 1</t>
  </si>
  <si>
    <t>I76</t>
  </si>
  <si>
    <t>Bird 3</t>
  </si>
  <si>
    <t>I725</t>
  </si>
  <si>
    <t>Severed finger 1</t>
  </si>
  <si>
    <t>I855</t>
  </si>
  <si>
    <t>Tumor 1</t>
  </si>
  <si>
    <t>I440</t>
  </si>
  <si>
    <t>Injury 4</t>
  </si>
  <si>
    <t>I64</t>
  </si>
  <si>
    <t>Beach 6</t>
  </si>
  <si>
    <t>I869</t>
  </si>
  <si>
    <t>War 6</t>
  </si>
  <si>
    <t>I377</t>
  </si>
  <si>
    <t>Galaxy 7</t>
  </si>
  <si>
    <t>I65</t>
  </si>
  <si>
    <t>Beach 7</t>
  </si>
  <si>
    <t>I810</t>
  </si>
  <si>
    <t>Sunset 1</t>
  </si>
  <si>
    <t>I451</t>
  </si>
  <si>
    <t>KKK rally 1</t>
  </si>
  <si>
    <t>I336</t>
  </si>
  <si>
    <t>Fireworks 3</t>
  </si>
  <si>
    <t>I461</t>
  </si>
  <si>
    <t>Lake 7</t>
  </si>
  <si>
    <t>I210</t>
  </si>
  <si>
    <t>Dead bodies 3</t>
  </si>
  <si>
    <t>I339</t>
  </si>
  <si>
    <t>Fireworks 6</t>
  </si>
  <si>
    <t>I813</t>
  </si>
  <si>
    <t>Sunset 4</t>
  </si>
  <si>
    <t>I452</t>
  </si>
  <si>
    <t>KKK rally 2</t>
  </si>
  <si>
    <t>I470</t>
  </si>
  <si>
    <t>Lake 16</t>
  </si>
  <si>
    <t>I516</t>
  </si>
  <si>
    <t>Nature 1</t>
  </si>
  <si>
    <t>I812</t>
  </si>
  <si>
    <t>Sunset 3</t>
  </si>
  <si>
    <t>I209</t>
  </si>
  <si>
    <t>Dead bodies 2</t>
  </si>
  <si>
    <t>I464</t>
  </si>
  <si>
    <t>Lake 10</t>
  </si>
  <si>
    <t>I334</t>
  </si>
  <si>
    <t>Fireworks 1</t>
  </si>
  <si>
    <t>I467</t>
  </si>
  <si>
    <t>Lake 13</t>
  </si>
  <si>
    <t>I208</t>
  </si>
  <si>
    <t>Dead bodies 1</t>
  </si>
  <si>
    <t>I268</t>
  </si>
  <si>
    <t>Dog 18</t>
  </si>
  <si>
    <t>I496</t>
  </si>
  <si>
    <t>Miserable pose 3</t>
  </si>
  <si>
    <t>I254</t>
  </si>
  <si>
    <t>Dog 4</t>
  </si>
  <si>
    <t>I462</t>
  </si>
  <si>
    <t>Lake 8</t>
  </si>
  <si>
    <t>I616</t>
  </si>
  <si>
    <t>Penguins 2</t>
  </si>
  <si>
    <t>I134</t>
  </si>
  <si>
    <t>Cat 5</t>
  </si>
  <si>
    <t>I660</t>
  </si>
  <si>
    <t>Rainbow 1</t>
  </si>
  <si>
    <t>I469</t>
  </si>
  <si>
    <t>Lake 15</t>
  </si>
  <si>
    <t>I455</t>
  </si>
  <si>
    <t>Lake 1</t>
  </si>
  <si>
    <t>I661</t>
  </si>
  <si>
    <t>Rainbow 2</t>
  </si>
  <si>
    <t>I335</t>
  </si>
  <si>
    <t>Fireworks 2</t>
  </si>
  <si>
    <t>I262</t>
  </si>
  <si>
    <t>Dog 12</t>
  </si>
  <si>
    <t>I468</t>
  </si>
  <si>
    <t>Lake 14</t>
  </si>
  <si>
    <t>I60</t>
  </si>
  <si>
    <t>Beach 2</t>
  </si>
  <si>
    <t>I59</t>
  </si>
  <si>
    <t>Beach 1</t>
  </si>
  <si>
    <t>I466</t>
  </si>
  <si>
    <t>Lake 12</t>
  </si>
  <si>
    <t>I456</t>
  </si>
  <si>
    <t>Lake 2</t>
  </si>
  <si>
    <t>I463</t>
  </si>
  <si>
    <t>Lake 9</t>
  </si>
  <si>
    <t>I256</t>
  </si>
  <si>
    <t>Dog 6</t>
  </si>
  <si>
    <t>Phase 1 requirement</t>
  </si>
  <si>
    <t>Phase 2 requirement</t>
  </si>
  <si>
    <t>Total requirements</t>
  </si>
  <si>
    <t>Category: Person</t>
  </si>
  <si>
    <t>Min valence</t>
  </si>
  <si>
    <t>Min arousal</t>
  </si>
  <si>
    <t>Valence</t>
  </si>
  <si>
    <t>Arousal</t>
  </si>
  <si>
    <t>Category: Object</t>
  </si>
  <si>
    <t xml:space="preserve">Max valence </t>
  </si>
  <si>
    <t>Max arousal</t>
  </si>
  <si>
    <t>Minimum</t>
  </si>
  <si>
    <t>Mean</t>
  </si>
  <si>
    <t>Maximum</t>
  </si>
  <si>
    <t>Phase 1</t>
  </si>
  <si>
    <t>Category: Animal</t>
  </si>
  <si>
    <t>Average valence</t>
  </si>
  <si>
    <t>Average arousal</t>
  </si>
  <si>
    <t>Category: Scene</t>
  </si>
  <si>
    <t>Phase 2</t>
  </si>
  <si>
    <t>Valence: Low end</t>
  </si>
  <si>
    <t>Valence: Mid</t>
  </si>
  <si>
    <t>Valence: Mid range</t>
  </si>
  <si>
    <t>Max valence</t>
  </si>
  <si>
    <t>OASIS descriptives</t>
  </si>
  <si>
    <t>Value</t>
  </si>
  <si>
    <t>Mean valence</t>
  </si>
  <si>
    <t>Category of Stimuli</t>
  </si>
  <si>
    <t>Min. Valence of Negative Images</t>
  </si>
  <si>
    <t>Max. Valence of Negative Images</t>
  </si>
  <si>
    <t>Min. Arousal of Negative Images</t>
  </si>
  <si>
    <t>Max. Arousal of Negative Images</t>
  </si>
  <si>
    <t>Min. Valence of Neutral Images</t>
  </si>
  <si>
    <t>Max. Valence of Neutral Images</t>
  </si>
  <si>
    <t>Min. Arousal of Neutral Images</t>
  </si>
  <si>
    <t>Max. Arousal of Neutral Images</t>
  </si>
  <si>
    <t>Minimum valence</t>
  </si>
  <si>
    <t>Maximum valence</t>
  </si>
  <si>
    <t>Average standard deviation for valence</t>
  </si>
  <si>
    <t xml:space="preserve">Mean arousal </t>
  </si>
  <si>
    <t xml:space="preserve">Minimum arousal </t>
  </si>
  <si>
    <t>Average</t>
  </si>
  <si>
    <t>Maximum arousal</t>
  </si>
  <si>
    <t>Average standard deviation for arousal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</si>
</sst>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b/>
      <sz val="8.0"/>
      <color rgb="FF000000"/>
      <name val="&quot;Helvetica Neue&quot;"/>
    </font>
    <font>
      <color theme="1"/>
      <name val="Arial"/>
      <scheme val="minor"/>
    </font>
    <font>
      <sz val="8.0"/>
      <color rgb="FF000000"/>
      <name val="&quot;Helvetica Neue&quot;"/>
    </font>
    <font>
      <u/>
      <sz val="8.0"/>
      <color rgb="FF0000FF"/>
      <name val="&quot;Helvetica Neue&quot;"/>
    </font>
    <font>
      <b/>
      <color theme="1"/>
      <name val="Arial"/>
      <scheme val="minor"/>
    </font>
    <font/>
    <font>
      <color theme="1"/>
      <name val="Arial"/>
    </font>
    <font>
      <b/>
      <sz val="8.0"/>
      <color theme="1"/>
      <name val="Helvetica Neue"/>
    </font>
    <font>
      <sz val="8.0"/>
      <color theme="1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AE1E1"/>
        <bgColor rgb="FFFAE1E1"/>
      </patternFill>
    </fill>
    <fill>
      <patternFill patternType="solid">
        <fgColor rgb="FFDCEEFF"/>
        <bgColor rgb="FFDCEEFF"/>
      </patternFill>
    </fill>
    <fill>
      <patternFill patternType="solid">
        <fgColor rgb="FFB6D7A8"/>
        <bgColor rgb="FFB6D7A8"/>
      </patternFill>
    </fill>
    <fill>
      <patternFill patternType="solid">
        <fgColor rgb="FFBDD5FF"/>
        <bgColor rgb="FFBDD5FF"/>
      </patternFill>
    </fill>
    <fill>
      <patternFill patternType="solid">
        <fgColor rgb="FFFFE599"/>
        <bgColor rgb="FFFFE599"/>
      </patternFill>
    </fill>
    <fill>
      <patternFill patternType="solid">
        <fgColor rgb="FFF8C0C0"/>
        <bgColor rgb="FFF8C0C0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0" fillId="6" fontId="3" numFmtId="0" xfId="0" applyAlignment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0" fillId="7" fontId="3" numFmtId="0" xfId="0" applyAlignment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0" fillId="8" fontId="3" numFmtId="0" xfId="0" applyAlignment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0" fillId="9" fontId="3" numFmtId="0" xfId="0" applyAlignment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0" fillId="1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center" shrinkToFit="0" wrapText="1"/>
    </xf>
    <xf borderId="0" fillId="0" fontId="8" numFmtId="0" xfId="0" applyFont="1"/>
    <xf borderId="0" fillId="10" fontId="8" numFmtId="0" xfId="0" applyFont="1"/>
    <xf borderId="1" fillId="10" fontId="9" numFmtId="0" xfId="0" applyAlignment="1" applyBorder="1" applyFont="1">
      <alignment horizontal="center" shrinkToFit="0" wrapText="1"/>
    </xf>
    <xf borderId="1" fillId="10" fontId="10" numFmtId="0" xfId="0" applyAlignment="1" applyBorder="1" applyFont="1">
      <alignment horizontal="center" shrinkToFit="0" wrapText="1"/>
    </xf>
    <xf borderId="1" fillId="10" fontId="9" numFmtId="0" xfId="0" applyAlignment="1" applyBorder="1" applyFont="1">
      <alignment horizontal="center" shrinkToFit="0" wrapText="1"/>
    </xf>
    <xf borderId="1" fillId="6" fontId="9" numFmtId="0" xfId="0" applyAlignment="1" applyBorder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0" fillId="6" fontId="8" numFmtId="0" xfId="0" applyFont="1"/>
    <xf borderId="0" fillId="4" fontId="8" numFmtId="0" xfId="0" applyFont="1"/>
    <xf borderId="1" fillId="4" fontId="9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0" fillId="9" fontId="8" numFmtId="0" xfId="0" applyFont="1"/>
    <xf borderId="0" fillId="5" fontId="8" numFmtId="0" xfId="0" applyFont="1"/>
    <xf borderId="1" fillId="5" fontId="9" numFmtId="0" xfId="0" applyAlignment="1" applyBorder="1" applyFont="1">
      <alignment horizontal="center" shrinkToFit="0" wrapText="1"/>
    </xf>
    <xf borderId="1" fillId="5" fontId="10" numFmtId="0" xfId="0" applyAlignment="1" applyBorder="1" applyFont="1">
      <alignment horizontal="center" shrinkToFit="0" wrapText="1"/>
    </xf>
    <xf borderId="1" fillId="7" fontId="9" numFmtId="0" xfId="0" applyAlignment="1" applyBorder="1" applyFont="1">
      <alignment horizontal="center" shrinkToFit="0" wrapText="1"/>
    </xf>
    <xf borderId="1" fillId="7" fontId="10" numFmtId="0" xfId="0" applyAlignment="1" applyBorder="1" applyFont="1">
      <alignment horizontal="center" shrinkToFit="0" wrapText="1"/>
    </xf>
    <xf borderId="0" fillId="7" fontId="8" numFmtId="0" xfId="0" applyFont="1"/>
    <xf borderId="1" fillId="3" fontId="9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0" fillId="3" fontId="8" numFmtId="0" xfId="0" applyFont="1"/>
    <xf borderId="1" fillId="8" fontId="9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0" fillId="8" fontId="8" numFmtId="0" xfId="0" applyFont="1"/>
    <xf borderId="1" fillId="0" fontId="8" numFmtId="0" xfId="0" applyBorder="1" applyFont="1"/>
    <xf borderId="1" fillId="10" fontId="9" numFmtId="0" xfId="0" applyAlignment="1" applyBorder="1" applyFont="1">
      <alignment horizontal="center" shrinkToFit="0" vertical="bottom" wrapText="1"/>
    </xf>
    <xf borderId="1" fillId="10" fontId="10" numFmtId="0" xfId="0" applyAlignment="1" applyBorder="1" applyFont="1">
      <alignment horizontal="center" shrinkToFit="0" vertical="bottom" wrapText="1"/>
    </xf>
    <xf borderId="0" fillId="10" fontId="8" numFmtId="0" xfId="0" applyAlignment="1" applyFont="1">
      <alignment vertical="bottom"/>
    </xf>
    <xf borderId="1" fillId="6" fontId="9" numFmtId="0" xfId="0" applyAlignment="1" applyBorder="1" applyFont="1">
      <alignment horizontal="center" shrinkToFit="0" vertical="bottom" wrapText="1"/>
    </xf>
    <xf borderId="1" fillId="6" fontId="10" numFmtId="0" xfId="0" applyAlignment="1" applyBorder="1" applyFont="1">
      <alignment horizontal="center" shrinkToFit="0" vertical="bottom" wrapText="1"/>
    </xf>
    <xf borderId="0" fillId="6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1" fillId="4" fontId="9" numFmtId="0" xfId="0" applyAlignment="1" applyBorder="1" applyFont="1">
      <alignment horizontal="center" shrinkToFit="0" vertical="bottom" wrapText="1"/>
    </xf>
    <xf borderId="1" fillId="4" fontId="10" numFmtId="0" xfId="0" applyAlignment="1" applyBorder="1" applyFont="1">
      <alignment horizontal="center" shrinkToFit="0" vertical="bottom" wrapText="1"/>
    </xf>
    <xf borderId="1" fillId="9" fontId="9" numFmtId="0" xfId="0" applyAlignment="1" applyBorder="1" applyFont="1">
      <alignment horizontal="center" shrinkToFit="0" vertical="bottom" wrapText="1"/>
    </xf>
    <xf borderId="1" fillId="9" fontId="10" numFmtId="0" xfId="0" applyAlignment="1" applyBorder="1" applyFont="1">
      <alignment horizontal="center" shrinkToFit="0" vertical="bottom" wrapText="1"/>
    </xf>
    <xf borderId="0" fillId="9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1" fillId="5" fontId="9" numFmtId="0" xfId="0" applyAlignment="1" applyBorder="1" applyFont="1">
      <alignment horizontal="center" shrinkToFit="0" vertical="bottom" wrapText="1"/>
    </xf>
    <xf borderId="1" fillId="5" fontId="10" numFmtId="0" xfId="0" applyAlignment="1" applyBorder="1" applyFont="1">
      <alignment horizontal="center" shrinkToFit="0" vertical="bottom" wrapText="1"/>
    </xf>
    <xf borderId="1" fillId="7" fontId="9" numFmtId="0" xfId="0" applyAlignment="1" applyBorder="1" applyFont="1">
      <alignment horizontal="center" shrinkToFit="0" vertical="bottom" wrapText="1"/>
    </xf>
    <xf borderId="1" fillId="7" fontId="10" numFmtId="0" xfId="0" applyAlignment="1" applyBorder="1" applyFont="1">
      <alignment horizontal="center" shrinkToFit="0" vertical="bottom" wrapText="1"/>
    </xf>
    <xf borderId="0" fillId="7" fontId="8" numFmtId="0" xfId="0" applyAlignment="1" applyFont="1">
      <alignment vertical="bottom"/>
    </xf>
    <xf borderId="1" fillId="3" fontId="9" numFmtId="0" xfId="0" applyAlignment="1" applyBorder="1" applyFont="1">
      <alignment horizontal="center" shrinkToFit="0" vertical="bottom" wrapText="1"/>
    </xf>
    <xf borderId="1" fillId="3" fontId="10" numFmtId="0" xfId="0" applyAlignment="1" applyBorder="1" applyFont="1">
      <alignment horizontal="center" shrinkToFit="0" vertical="bottom" wrapText="1"/>
    </xf>
    <xf borderId="0" fillId="3" fontId="8" numFmtId="0" xfId="0" applyAlignment="1" applyFont="1">
      <alignment vertical="bottom"/>
    </xf>
    <xf borderId="1" fillId="8" fontId="9" numFmtId="0" xfId="0" applyAlignment="1" applyBorder="1" applyFont="1">
      <alignment horizontal="center" shrinkToFit="0" vertical="bottom" wrapText="1"/>
    </xf>
    <xf borderId="1" fillId="8" fontId="10" numFmtId="0" xfId="0" applyAlignment="1" applyBorder="1" applyFont="1">
      <alignment horizontal="center" shrinkToFit="0" vertical="bottom" wrapText="1"/>
    </xf>
    <xf borderId="0" fillId="8" fontId="8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blicdomainpictures.net/" TargetMode="External"/><Relationship Id="rId2" Type="http://schemas.openxmlformats.org/officeDocument/2006/relationships/hyperlink" Target="http://all-free-download.com/" TargetMode="External"/><Relationship Id="rId3" Type="http://schemas.openxmlformats.org/officeDocument/2006/relationships/hyperlink" Target="http://all-free-download.com/" TargetMode="External"/><Relationship Id="rId4" Type="http://schemas.openxmlformats.org/officeDocument/2006/relationships/hyperlink" Target="http://all-free-download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9</v>
      </c>
      <c r="B2" s="4" t="s">
        <v>10</v>
      </c>
      <c r="C2" s="4" t="s">
        <v>11</v>
      </c>
      <c r="D2" s="4" t="s">
        <v>12</v>
      </c>
      <c r="E2" s="4">
        <v>6.2037037037037</v>
      </c>
      <c r="F2" s="4">
        <v>1.00242005539733</v>
      </c>
      <c r="G2" s="4">
        <v>108.0</v>
      </c>
      <c r="H2" s="4">
        <v>3.98076923076923</v>
      </c>
      <c r="I2" s="4">
        <v>1.86423033511019</v>
      </c>
      <c r="J2" s="4">
        <v>104.0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13</v>
      </c>
      <c r="B3" s="6" t="s">
        <v>14</v>
      </c>
      <c r="C3" s="6" t="s">
        <v>15</v>
      </c>
      <c r="D3" s="6" t="s">
        <v>16</v>
      </c>
      <c r="E3" s="6">
        <v>1.15740740740741</v>
      </c>
      <c r="F3" s="6">
        <v>0.549630921823901</v>
      </c>
      <c r="G3" s="6">
        <v>108.0</v>
      </c>
      <c r="H3" s="6">
        <v>5.20192307692308</v>
      </c>
      <c r="I3" s="6">
        <v>2.37862572582152</v>
      </c>
      <c r="J3" s="6">
        <v>104.0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 t="s">
        <v>17</v>
      </c>
      <c r="B4" s="4" t="s">
        <v>18</v>
      </c>
      <c r="C4" s="4" t="s">
        <v>11</v>
      </c>
      <c r="D4" s="4" t="s">
        <v>12</v>
      </c>
      <c r="E4" s="4">
        <v>6.17592592592593</v>
      </c>
      <c r="F4" s="4">
        <v>0.993706398126079</v>
      </c>
      <c r="G4" s="4">
        <v>108.0</v>
      </c>
      <c r="H4" s="4">
        <v>4.08653846153846</v>
      </c>
      <c r="I4" s="4">
        <v>1.76871725183901</v>
      </c>
      <c r="J4" s="4">
        <v>104.0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19</v>
      </c>
      <c r="B5" s="4" t="s">
        <v>20</v>
      </c>
      <c r="C5" s="4" t="s">
        <v>11</v>
      </c>
      <c r="D5" s="4" t="s">
        <v>12</v>
      </c>
      <c r="E5" s="4">
        <v>6.13888888888889</v>
      </c>
      <c r="F5" s="4">
        <v>1.06304388681557</v>
      </c>
      <c r="G5" s="4">
        <v>108.0</v>
      </c>
      <c r="H5" s="4">
        <v>3.72115384615385</v>
      </c>
      <c r="I5" s="4">
        <v>1.82993835520997</v>
      </c>
      <c r="J5" s="4">
        <v>104.0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21</v>
      </c>
      <c r="B6" s="4" t="s">
        <v>22</v>
      </c>
      <c r="C6" s="4" t="s">
        <v>11</v>
      </c>
      <c r="D6" s="4" t="s">
        <v>12</v>
      </c>
      <c r="E6" s="4">
        <v>6.1078431372549</v>
      </c>
      <c r="F6" s="4">
        <v>1.15960784379379</v>
      </c>
      <c r="G6" s="4">
        <v>102.0</v>
      </c>
      <c r="H6" s="4">
        <v>4.08910891089109</v>
      </c>
      <c r="I6" s="4">
        <v>1.74985147884608</v>
      </c>
      <c r="J6" s="4">
        <v>101.0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23</v>
      </c>
      <c r="B7" s="6" t="s">
        <v>24</v>
      </c>
      <c r="C7" s="6" t="s">
        <v>25</v>
      </c>
      <c r="D7" s="6" t="s">
        <v>26</v>
      </c>
      <c r="E7" s="6">
        <v>1.2962962962963</v>
      </c>
      <c r="F7" s="6">
        <v>0.687121304493579</v>
      </c>
      <c r="G7" s="6">
        <v>108.0</v>
      </c>
      <c r="H7" s="6">
        <v>4.85576923076923</v>
      </c>
      <c r="I7" s="6">
        <v>2.30414682831253</v>
      </c>
      <c r="J7" s="6">
        <v>104.0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 t="s">
        <v>27</v>
      </c>
      <c r="B8" s="4" t="s">
        <v>28</v>
      </c>
      <c r="C8" s="4" t="s">
        <v>11</v>
      </c>
      <c r="D8" s="4" t="s">
        <v>12</v>
      </c>
      <c r="E8" s="4">
        <v>6.10185185185185</v>
      </c>
      <c r="F8" s="4">
        <v>1.11857565317045</v>
      </c>
      <c r="G8" s="4">
        <v>108.0</v>
      </c>
      <c r="H8" s="4">
        <v>3.92307692307692</v>
      </c>
      <c r="I8" s="4">
        <v>1.85227389874369</v>
      </c>
      <c r="J8" s="4">
        <v>104.0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29</v>
      </c>
      <c r="B9" s="4" t="s">
        <v>30</v>
      </c>
      <c r="C9" s="4" t="s">
        <v>11</v>
      </c>
      <c r="D9" s="4" t="s">
        <v>12</v>
      </c>
      <c r="E9" s="4">
        <v>6.07843137254902</v>
      </c>
      <c r="F9" s="4">
        <v>1.15772288027873</v>
      </c>
      <c r="G9" s="4">
        <v>102.0</v>
      </c>
      <c r="H9" s="4">
        <v>4.44554455445545</v>
      </c>
      <c r="I9" s="4">
        <v>1.72322515954679</v>
      </c>
      <c r="J9" s="4">
        <v>101.0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31</v>
      </c>
      <c r="B10" s="4" t="s">
        <v>32</v>
      </c>
      <c r="C10" s="4" t="s">
        <v>11</v>
      </c>
      <c r="D10" s="4" t="s">
        <v>12</v>
      </c>
      <c r="E10" s="4">
        <v>6.05940594059406</v>
      </c>
      <c r="F10" s="4">
        <v>1.07537697741971</v>
      </c>
      <c r="G10" s="4">
        <v>101.0</v>
      </c>
      <c r="H10" s="4">
        <v>3.72815533980583</v>
      </c>
      <c r="I10" s="4">
        <v>1.75003739319872</v>
      </c>
      <c r="J10" s="4">
        <v>103.0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33</v>
      </c>
      <c r="B11" s="4" t="s">
        <v>34</v>
      </c>
      <c r="C11" s="4" t="s">
        <v>11</v>
      </c>
      <c r="D11" s="4" t="s">
        <v>12</v>
      </c>
      <c r="E11" s="4">
        <v>6.04901960784314</v>
      </c>
      <c r="F11" s="4">
        <v>1.16361889392739</v>
      </c>
      <c r="G11" s="4">
        <v>102.0</v>
      </c>
      <c r="H11" s="4">
        <v>4.08910891089109</v>
      </c>
      <c r="I11" s="4">
        <v>1.72104044055327</v>
      </c>
      <c r="J11" s="4">
        <v>101.0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35</v>
      </c>
      <c r="B12" s="4" t="s">
        <v>36</v>
      </c>
      <c r="C12" s="4" t="s">
        <v>11</v>
      </c>
      <c r="D12" s="4" t="s">
        <v>12</v>
      </c>
      <c r="E12" s="4">
        <v>6.0462962962963</v>
      </c>
      <c r="F12" s="4">
        <v>0.989517575833472</v>
      </c>
      <c r="G12" s="4">
        <v>108.0</v>
      </c>
      <c r="H12" s="4">
        <v>3.65384615384615</v>
      </c>
      <c r="I12" s="4">
        <v>1.76684256126451</v>
      </c>
      <c r="J12" s="4">
        <v>104.0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37</v>
      </c>
      <c r="B13" s="9" t="s">
        <v>38</v>
      </c>
      <c r="C13" s="9" t="s">
        <v>39</v>
      </c>
      <c r="D13" s="9" t="s">
        <v>12</v>
      </c>
      <c r="E13" s="9">
        <v>1.47058823529412</v>
      </c>
      <c r="F13" s="9">
        <v>0.740696519312469</v>
      </c>
      <c r="G13" s="9">
        <v>102.0</v>
      </c>
      <c r="H13" s="9">
        <v>5.14851485148515</v>
      </c>
      <c r="I13" s="9">
        <v>1.88884164828003</v>
      </c>
      <c r="J13" s="9">
        <v>101.0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 t="s">
        <v>40</v>
      </c>
      <c r="B14" s="9" t="s">
        <v>41</v>
      </c>
      <c r="C14" s="9" t="s">
        <v>39</v>
      </c>
      <c r="D14" s="9" t="s">
        <v>12</v>
      </c>
      <c r="E14" s="9">
        <v>1.60185185185185</v>
      </c>
      <c r="F14" s="9">
        <v>0.784663923711361</v>
      </c>
      <c r="G14" s="9">
        <v>108.0</v>
      </c>
      <c r="H14" s="9">
        <v>3.77884615384615</v>
      </c>
      <c r="I14" s="9">
        <v>1.95560797175926</v>
      </c>
      <c r="J14" s="9">
        <v>104.0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 t="s">
        <v>42</v>
      </c>
      <c r="B15" s="9" t="s">
        <v>43</v>
      </c>
      <c r="C15" s="9" t="s">
        <v>39</v>
      </c>
      <c r="D15" s="9" t="s">
        <v>12</v>
      </c>
      <c r="E15" s="9">
        <v>1.6078431372549</v>
      </c>
      <c r="F15" s="9">
        <v>0.82241930893244</v>
      </c>
      <c r="G15" s="9">
        <v>102.0</v>
      </c>
      <c r="H15" s="9">
        <v>4.98019801980198</v>
      </c>
      <c r="I15" s="9">
        <v>1.97979896969264</v>
      </c>
      <c r="J15" s="9">
        <v>101.0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" t="s">
        <v>44</v>
      </c>
      <c r="B16" s="6" t="s">
        <v>45</v>
      </c>
      <c r="C16" s="6" t="s">
        <v>25</v>
      </c>
      <c r="D16" s="6" t="s">
        <v>46</v>
      </c>
      <c r="E16" s="6">
        <v>1.61764705882353</v>
      </c>
      <c r="F16" s="6">
        <v>1.04402228312643</v>
      </c>
      <c r="G16" s="6">
        <v>102.0</v>
      </c>
      <c r="H16" s="6">
        <v>4.47524752475248</v>
      </c>
      <c r="I16" s="6">
        <v>2.27417703535121</v>
      </c>
      <c r="J16" s="6">
        <v>101.0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" t="s">
        <v>47</v>
      </c>
      <c r="B17" s="4" t="s">
        <v>48</v>
      </c>
      <c r="C17" s="4" t="s">
        <v>39</v>
      </c>
      <c r="D17" s="4" t="s">
        <v>12</v>
      </c>
      <c r="E17" s="4">
        <v>1.63888888888889</v>
      </c>
      <c r="F17" s="4">
        <v>0.814108460630266</v>
      </c>
      <c r="G17" s="4">
        <v>108.0</v>
      </c>
      <c r="H17" s="4">
        <v>3.78846153846154</v>
      </c>
      <c r="I17" s="4">
        <v>1.94922477457253</v>
      </c>
      <c r="J17" s="4">
        <v>104.0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49</v>
      </c>
      <c r="B18" s="4" t="s">
        <v>50</v>
      </c>
      <c r="C18" s="4" t="s">
        <v>11</v>
      </c>
      <c r="D18" s="4" t="s">
        <v>12</v>
      </c>
      <c r="E18" s="4">
        <v>6.03960396039604</v>
      </c>
      <c r="F18" s="4">
        <v>1.19933975235717</v>
      </c>
      <c r="G18" s="4">
        <v>101.0</v>
      </c>
      <c r="H18" s="4">
        <v>4.30097087378641</v>
      </c>
      <c r="I18" s="4">
        <v>1.64992543774673</v>
      </c>
      <c r="J18" s="4">
        <v>103.0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51</v>
      </c>
      <c r="B19" s="9" t="s">
        <v>52</v>
      </c>
      <c r="C19" s="9" t="s">
        <v>39</v>
      </c>
      <c r="D19" s="9" t="s">
        <v>12</v>
      </c>
      <c r="E19" s="9">
        <v>1.7156862745098</v>
      </c>
      <c r="F19" s="9">
        <v>0.958313813919198</v>
      </c>
      <c r="G19" s="9">
        <v>102.0</v>
      </c>
      <c r="H19" s="9">
        <v>5.13861386138614</v>
      </c>
      <c r="I19" s="9">
        <v>1.76085037961944</v>
      </c>
      <c r="J19" s="9">
        <v>101.0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" t="s">
        <v>53</v>
      </c>
      <c r="B20" s="4" t="s">
        <v>54</v>
      </c>
      <c r="C20" s="4" t="s">
        <v>39</v>
      </c>
      <c r="D20" s="4" t="s">
        <v>12</v>
      </c>
      <c r="E20" s="4">
        <v>1.73529411764706</v>
      </c>
      <c r="F20" s="4">
        <v>0.984297212099696</v>
      </c>
      <c r="G20" s="4">
        <v>102.0</v>
      </c>
      <c r="H20" s="4">
        <v>5.28712871287129</v>
      </c>
      <c r="I20" s="4">
        <v>1.81844237556963</v>
      </c>
      <c r="J20" s="4">
        <v>101.0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55</v>
      </c>
      <c r="B21" s="4" t="s">
        <v>56</v>
      </c>
      <c r="C21" s="4" t="s">
        <v>39</v>
      </c>
      <c r="D21" s="4" t="s">
        <v>12</v>
      </c>
      <c r="E21" s="4">
        <v>1.74257425742574</v>
      </c>
      <c r="F21" s="4">
        <v>0.901703558233355</v>
      </c>
      <c r="G21" s="4">
        <v>101.0</v>
      </c>
      <c r="H21" s="4">
        <v>4.60194174757282</v>
      </c>
      <c r="I21" s="4">
        <v>2.08796648339696</v>
      </c>
      <c r="J21" s="4">
        <v>103.0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57</v>
      </c>
      <c r="B22" s="4" t="s">
        <v>58</v>
      </c>
      <c r="C22" s="4" t="s">
        <v>39</v>
      </c>
      <c r="D22" s="4" t="s">
        <v>12</v>
      </c>
      <c r="E22" s="4">
        <v>1.75490196078431</v>
      </c>
      <c r="F22" s="4">
        <v>1.11191810466476</v>
      </c>
      <c r="G22" s="4">
        <v>102.0</v>
      </c>
      <c r="H22" s="4">
        <v>5.31683168316832</v>
      </c>
      <c r="I22" s="4">
        <v>1.89700128133487</v>
      </c>
      <c r="J22" s="4">
        <v>101.0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59</v>
      </c>
      <c r="B23" s="4" t="s">
        <v>60</v>
      </c>
      <c r="C23" s="4" t="s">
        <v>11</v>
      </c>
      <c r="D23" s="4" t="s">
        <v>12</v>
      </c>
      <c r="E23" s="4">
        <v>6.02970297029703</v>
      </c>
      <c r="F23" s="4">
        <v>1.08125339809459</v>
      </c>
      <c r="G23" s="4">
        <v>101.0</v>
      </c>
      <c r="H23" s="4">
        <v>4.39805825242718</v>
      </c>
      <c r="I23" s="4">
        <v>1.83292226670666</v>
      </c>
      <c r="J23" s="4">
        <v>103.0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61</v>
      </c>
      <c r="B24" s="4" t="s">
        <v>62</v>
      </c>
      <c r="C24" s="4" t="s">
        <v>11</v>
      </c>
      <c r="D24" s="4" t="s">
        <v>12</v>
      </c>
      <c r="E24" s="4">
        <v>6.02777777777778</v>
      </c>
      <c r="F24" s="4">
        <v>1.05421568785088</v>
      </c>
      <c r="G24" s="4">
        <v>108.0</v>
      </c>
      <c r="H24" s="4">
        <v>3.66346153846154</v>
      </c>
      <c r="I24" s="4">
        <v>1.83604988046482</v>
      </c>
      <c r="J24" s="4">
        <v>104.0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63</v>
      </c>
      <c r="B25" s="9" t="s">
        <v>64</v>
      </c>
      <c r="C25" s="9" t="s">
        <v>39</v>
      </c>
      <c r="D25" s="9" t="s">
        <v>12</v>
      </c>
      <c r="E25" s="9">
        <v>1.82352941176471</v>
      </c>
      <c r="F25" s="9">
        <v>1.30050839035502</v>
      </c>
      <c r="G25" s="9">
        <v>102.0</v>
      </c>
      <c r="H25" s="9">
        <v>5.45544554455446</v>
      </c>
      <c r="I25" s="9">
        <v>1.7973577967408</v>
      </c>
      <c r="J25" s="9">
        <v>101.0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" t="s">
        <v>65</v>
      </c>
      <c r="B26" s="4" t="s">
        <v>66</v>
      </c>
      <c r="C26" s="4" t="s">
        <v>39</v>
      </c>
      <c r="D26" s="4" t="s">
        <v>12</v>
      </c>
      <c r="E26" s="4">
        <v>1.84259259259259</v>
      </c>
      <c r="F26" s="4">
        <v>0.938900102546293</v>
      </c>
      <c r="G26" s="4">
        <v>108.0</v>
      </c>
      <c r="H26" s="4">
        <v>3.93269230769231</v>
      </c>
      <c r="I26" s="4">
        <v>2.06338595835683</v>
      </c>
      <c r="J26" s="4">
        <v>104.0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67</v>
      </c>
      <c r="B27" s="12" t="s">
        <v>68</v>
      </c>
      <c r="C27" s="12" t="s">
        <v>15</v>
      </c>
      <c r="D27" s="12" t="s">
        <v>69</v>
      </c>
      <c r="E27" s="12">
        <v>1.84313725490196</v>
      </c>
      <c r="F27" s="12">
        <v>1.06003080507466</v>
      </c>
      <c r="G27" s="12">
        <v>102.0</v>
      </c>
      <c r="H27" s="12">
        <v>4.54455445544554</v>
      </c>
      <c r="I27" s="12">
        <v>1.93661949011801</v>
      </c>
      <c r="J27" s="12">
        <v>101.0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2" t="s">
        <v>70</v>
      </c>
      <c r="B28" s="4" t="s">
        <v>71</v>
      </c>
      <c r="C28" s="4" t="s">
        <v>39</v>
      </c>
      <c r="D28" s="4" t="s">
        <v>46</v>
      </c>
      <c r="E28" s="4">
        <v>1.85294117647059</v>
      </c>
      <c r="F28" s="4">
        <v>0.762967873965577</v>
      </c>
      <c r="G28" s="4">
        <v>102.0</v>
      </c>
      <c r="H28" s="4">
        <v>4.55445544554455</v>
      </c>
      <c r="I28" s="4">
        <v>1.75769876557249</v>
      </c>
      <c r="J28" s="4">
        <v>101.0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4" t="s">
        <v>72</v>
      </c>
      <c r="B29" s="15" t="s">
        <v>73</v>
      </c>
      <c r="C29" s="15" t="s">
        <v>25</v>
      </c>
      <c r="D29" s="15" t="s">
        <v>46</v>
      </c>
      <c r="E29" s="15">
        <v>1.8921568627451</v>
      </c>
      <c r="F29" s="15">
        <v>1.08003357799927</v>
      </c>
      <c r="G29" s="15">
        <v>102.0</v>
      </c>
      <c r="H29" s="15">
        <v>4.77227722772277</v>
      </c>
      <c r="I29" s="15">
        <v>2.15815285889954</v>
      </c>
      <c r="J29" s="15">
        <v>101.0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" t="s">
        <v>74</v>
      </c>
      <c r="B30" s="4" t="s">
        <v>75</v>
      </c>
      <c r="C30" s="4" t="s">
        <v>39</v>
      </c>
      <c r="D30" s="4" t="s">
        <v>12</v>
      </c>
      <c r="E30" s="4">
        <v>1.89814814814815</v>
      </c>
      <c r="F30" s="4">
        <v>0.916513250637801</v>
      </c>
      <c r="G30" s="4">
        <v>108.0</v>
      </c>
      <c r="H30" s="4">
        <v>3.59615384615385</v>
      </c>
      <c r="I30" s="4">
        <v>2.05515799486768</v>
      </c>
      <c r="J30" s="4">
        <v>104.0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76</v>
      </c>
      <c r="B31" s="12" t="s">
        <v>77</v>
      </c>
      <c r="C31" s="12" t="s">
        <v>15</v>
      </c>
      <c r="D31" s="12" t="s">
        <v>12</v>
      </c>
      <c r="E31" s="12">
        <v>1.91666666666667</v>
      </c>
      <c r="F31" s="12">
        <v>0.977551776958906</v>
      </c>
      <c r="G31" s="12">
        <v>108.0</v>
      </c>
      <c r="H31" s="12">
        <v>4.17307692307692</v>
      </c>
      <c r="I31" s="12">
        <v>2.0310325830101</v>
      </c>
      <c r="J31" s="12">
        <v>104.0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2" t="s">
        <v>78</v>
      </c>
      <c r="B32" s="4" t="s">
        <v>79</v>
      </c>
      <c r="C32" s="4" t="s">
        <v>39</v>
      </c>
      <c r="D32" s="4" t="s">
        <v>12</v>
      </c>
      <c r="E32" s="4">
        <v>1.96296296296296</v>
      </c>
      <c r="F32" s="4">
        <v>1.25248109598976</v>
      </c>
      <c r="G32" s="4">
        <v>108.0</v>
      </c>
      <c r="H32" s="4">
        <v>4.68269230769231</v>
      </c>
      <c r="I32" s="4">
        <v>1.98178316820118</v>
      </c>
      <c r="J32" s="4">
        <v>104.0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80</v>
      </c>
      <c r="B33" s="4" t="s">
        <v>81</v>
      </c>
      <c r="C33" s="4" t="s">
        <v>39</v>
      </c>
      <c r="D33" s="4" t="s">
        <v>12</v>
      </c>
      <c r="E33" s="4">
        <v>1.96296296296296</v>
      </c>
      <c r="F33" s="4">
        <v>0.94647329574057</v>
      </c>
      <c r="G33" s="4">
        <v>108.0</v>
      </c>
      <c r="H33" s="4">
        <v>3.31730769230769</v>
      </c>
      <c r="I33" s="4">
        <v>1.87608569513075</v>
      </c>
      <c r="J33" s="4">
        <v>104.0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82</v>
      </c>
      <c r="B34" s="4" t="s">
        <v>83</v>
      </c>
      <c r="C34" s="4" t="s">
        <v>11</v>
      </c>
      <c r="D34" s="4" t="s">
        <v>12</v>
      </c>
      <c r="E34" s="4">
        <v>6.0</v>
      </c>
      <c r="F34" s="4">
        <v>0.989949493661167</v>
      </c>
      <c r="G34" s="4">
        <v>101.0</v>
      </c>
      <c r="H34" s="4">
        <v>3.92233009708738</v>
      </c>
      <c r="I34" s="4">
        <v>1.53194302093107</v>
      </c>
      <c r="J34" s="4">
        <v>103.0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84</v>
      </c>
      <c r="B35" s="4" t="s">
        <v>85</v>
      </c>
      <c r="C35" s="4" t="s">
        <v>11</v>
      </c>
      <c r="D35" s="4" t="s">
        <v>86</v>
      </c>
      <c r="E35" s="4">
        <v>5.98148148148148</v>
      </c>
      <c r="F35" s="4">
        <v>1.11053983236984</v>
      </c>
      <c r="G35" s="4">
        <v>108.0</v>
      </c>
      <c r="H35" s="4">
        <v>3.63461538461538</v>
      </c>
      <c r="I35" s="4">
        <v>1.80106598590564</v>
      </c>
      <c r="J35" s="4">
        <v>104.0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 t="s">
        <v>87</v>
      </c>
      <c r="B36" s="12" t="s">
        <v>88</v>
      </c>
      <c r="C36" s="12" t="s">
        <v>15</v>
      </c>
      <c r="D36" s="12" t="s">
        <v>12</v>
      </c>
      <c r="E36" s="12">
        <v>1.97222222222222</v>
      </c>
      <c r="F36" s="12">
        <v>1.00891663311974</v>
      </c>
      <c r="G36" s="12">
        <v>108.0</v>
      </c>
      <c r="H36" s="12">
        <v>4.08653846153846</v>
      </c>
      <c r="I36" s="12">
        <v>1.83869189953591</v>
      </c>
      <c r="J36" s="12">
        <v>104.0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8" t="s">
        <v>89</v>
      </c>
      <c r="B37" s="9" t="s">
        <v>90</v>
      </c>
      <c r="C37" s="9" t="s">
        <v>39</v>
      </c>
      <c r="D37" s="9" t="s">
        <v>46</v>
      </c>
      <c r="E37" s="9">
        <v>1.99009900990099</v>
      </c>
      <c r="F37" s="9">
        <v>0.83060278719675</v>
      </c>
      <c r="G37" s="9">
        <v>101.0</v>
      </c>
      <c r="H37" s="9">
        <v>4.21359223300971</v>
      </c>
      <c r="I37" s="9">
        <v>1.87684803273422</v>
      </c>
      <c r="J37" s="9">
        <v>103.0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" t="s">
        <v>91</v>
      </c>
      <c r="B38" s="4" t="s">
        <v>92</v>
      </c>
      <c r="C38" s="4" t="s">
        <v>39</v>
      </c>
      <c r="D38" s="4" t="s">
        <v>12</v>
      </c>
      <c r="E38" s="4">
        <v>2.0</v>
      </c>
      <c r="F38" s="4">
        <v>1.0244534886929</v>
      </c>
      <c r="G38" s="4">
        <v>102.0</v>
      </c>
      <c r="H38" s="4">
        <v>3.46534653465347</v>
      </c>
      <c r="I38" s="4">
        <v>1.79757812868116</v>
      </c>
      <c r="J38" s="4">
        <v>101.0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" t="s">
        <v>93</v>
      </c>
      <c r="B39" s="12" t="s">
        <v>94</v>
      </c>
      <c r="C39" s="12" t="s">
        <v>15</v>
      </c>
      <c r="D39" s="12" t="s">
        <v>46</v>
      </c>
      <c r="E39" s="12">
        <v>2.00980392156863</v>
      </c>
      <c r="F39" s="12">
        <v>1.02922731797387</v>
      </c>
      <c r="G39" s="12">
        <v>102.0</v>
      </c>
      <c r="H39" s="12">
        <v>3.52475247524752</v>
      </c>
      <c r="I39" s="12">
        <v>2.05715366176638</v>
      </c>
      <c r="J39" s="12">
        <v>101.0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5" t="s">
        <v>95</v>
      </c>
      <c r="B40" s="6" t="s">
        <v>96</v>
      </c>
      <c r="C40" s="6" t="s">
        <v>39</v>
      </c>
      <c r="D40" s="6" t="s">
        <v>12</v>
      </c>
      <c r="E40" s="6">
        <v>2.00990099009901</v>
      </c>
      <c r="F40" s="6">
        <v>1.18739251728273</v>
      </c>
      <c r="G40" s="6">
        <v>101.0</v>
      </c>
      <c r="H40" s="6">
        <v>4.09708737864078</v>
      </c>
      <c r="I40" s="6">
        <v>2.13061053160547</v>
      </c>
      <c r="J40" s="6">
        <v>103.0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 t="s">
        <v>97</v>
      </c>
      <c r="B41" s="4" t="s">
        <v>98</v>
      </c>
      <c r="C41" s="4" t="s">
        <v>39</v>
      </c>
      <c r="D41" s="4" t="s">
        <v>12</v>
      </c>
      <c r="E41" s="4">
        <v>2.00990099009901</v>
      </c>
      <c r="F41" s="4">
        <v>0.953887304716343</v>
      </c>
      <c r="G41" s="4">
        <v>101.0</v>
      </c>
      <c r="H41" s="4">
        <v>3.85436893203884</v>
      </c>
      <c r="I41" s="4">
        <v>2.10232255780709</v>
      </c>
      <c r="J41" s="4">
        <v>103.0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99</v>
      </c>
      <c r="B42" s="4" t="s">
        <v>100</v>
      </c>
      <c r="C42" s="4" t="s">
        <v>39</v>
      </c>
      <c r="D42" s="4" t="s">
        <v>12</v>
      </c>
      <c r="E42" s="4">
        <v>2.01980198019802</v>
      </c>
      <c r="F42" s="4">
        <v>1.19147134266672</v>
      </c>
      <c r="G42" s="4">
        <v>101.0</v>
      </c>
      <c r="H42" s="4">
        <v>3.6504854368932</v>
      </c>
      <c r="I42" s="4">
        <v>2.00835869903798</v>
      </c>
      <c r="J42" s="4">
        <v>103.0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101</v>
      </c>
      <c r="B43" s="4" t="s">
        <v>102</v>
      </c>
      <c r="C43" s="4" t="s">
        <v>15</v>
      </c>
      <c r="D43" s="4" t="s">
        <v>12</v>
      </c>
      <c r="E43" s="4">
        <v>2.02777777777778</v>
      </c>
      <c r="F43" s="4">
        <v>0.941844812636531</v>
      </c>
      <c r="G43" s="4">
        <v>108.0</v>
      </c>
      <c r="H43" s="4">
        <v>3.96153846153846</v>
      </c>
      <c r="I43" s="4">
        <v>1.81109352217912</v>
      </c>
      <c r="J43" s="4">
        <v>104.0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103</v>
      </c>
      <c r="B44" s="4" t="s">
        <v>104</v>
      </c>
      <c r="C44" s="4" t="s">
        <v>39</v>
      </c>
      <c r="D44" s="4" t="s">
        <v>46</v>
      </c>
      <c r="E44" s="4">
        <v>2.02941176470588</v>
      </c>
      <c r="F44" s="4">
        <v>0.826011319570284</v>
      </c>
      <c r="G44" s="4">
        <v>102.0</v>
      </c>
      <c r="H44" s="4">
        <v>4.66336633663366</v>
      </c>
      <c r="I44" s="4">
        <v>1.72207565294195</v>
      </c>
      <c r="J44" s="4">
        <v>101.0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105</v>
      </c>
      <c r="B45" s="4" t="s">
        <v>106</v>
      </c>
      <c r="C45" s="4" t="s">
        <v>11</v>
      </c>
      <c r="D45" s="4" t="s">
        <v>12</v>
      </c>
      <c r="E45" s="4">
        <v>5.97058823529412</v>
      </c>
      <c r="F45" s="4">
        <v>1.23845865840289</v>
      </c>
      <c r="G45" s="4">
        <v>102.0</v>
      </c>
      <c r="H45" s="4">
        <v>4.53465346534653</v>
      </c>
      <c r="I45" s="4">
        <v>1.45302688506196</v>
      </c>
      <c r="J45" s="4">
        <v>101.0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107</v>
      </c>
      <c r="B46" s="4" t="s">
        <v>108</v>
      </c>
      <c r="C46" s="4" t="s">
        <v>15</v>
      </c>
      <c r="D46" s="4" t="s">
        <v>12</v>
      </c>
      <c r="E46" s="4">
        <v>2.04950495049505</v>
      </c>
      <c r="F46" s="4">
        <v>1.04284454856668</v>
      </c>
      <c r="G46" s="4">
        <v>101.0</v>
      </c>
      <c r="H46" s="4">
        <v>4.10679611650485</v>
      </c>
      <c r="I46" s="4">
        <v>1.91952108691778</v>
      </c>
      <c r="J46" s="4">
        <v>103.0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109</v>
      </c>
      <c r="B47" s="4" t="s">
        <v>110</v>
      </c>
      <c r="C47" s="4" t="s">
        <v>39</v>
      </c>
      <c r="D47" s="4" t="s">
        <v>12</v>
      </c>
      <c r="E47" s="4">
        <v>2.05555555555556</v>
      </c>
      <c r="F47" s="4">
        <v>1.11768563728833</v>
      </c>
      <c r="G47" s="4">
        <v>108.0</v>
      </c>
      <c r="H47" s="4">
        <v>4.51923076923077</v>
      </c>
      <c r="I47" s="4">
        <v>2.02403408213548</v>
      </c>
      <c r="J47" s="4">
        <v>104.0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4" t="s">
        <v>111</v>
      </c>
      <c r="B48" s="15" t="s">
        <v>112</v>
      </c>
      <c r="C48" s="15" t="s">
        <v>25</v>
      </c>
      <c r="D48" s="15" t="s">
        <v>12</v>
      </c>
      <c r="E48" s="15">
        <v>2.05882352941176</v>
      </c>
      <c r="F48" s="15">
        <v>1.17585889747351</v>
      </c>
      <c r="G48" s="15">
        <v>102.0</v>
      </c>
      <c r="H48" s="15">
        <v>4.34653465346535</v>
      </c>
      <c r="I48" s="15">
        <v>2.1745603857532</v>
      </c>
      <c r="J48" s="15">
        <v>101.0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" t="s">
        <v>113</v>
      </c>
      <c r="B49" s="4" t="s">
        <v>114</v>
      </c>
      <c r="C49" s="4" t="s">
        <v>39</v>
      </c>
      <c r="D49" s="4" t="s">
        <v>12</v>
      </c>
      <c r="E49" s="4">
        <v>2.05882352941176</v>
      </c>
      <c r="F49" s="4">
        <v>1.12420294679364</v>
      </c>
      <c r="G49" s="4">
        <v>102.0</v>
      </c>
      <c r="H49" s="4">
        <v>3.14851485148515</v>
      </c>
      <c r="I49" s="4">
        <v>1.83513562776086</v>
      </c>
      <c r="J49" s="4">
        <v>101.0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4" t="s">
        <v>115</v>
      </c>
      <c r="B50" s="15" t="s">
        <v>116</v>
      </c>
      <c r="C50" s="15" t="s">
        <v>25</v>
      </c>
      <c r="D50" s="15" t="s">
        <v>46</v>
      </c>
      <c r="E50" s="15">
        <v>2.08333333333333</v>
      </c>
      <c r="F50" s="15">
        <v>1.10330853328802</v>
      </c>
      <c r="G50" s="15">
        <v>108.0</v>
      </c>
      <c r="H50" s="15">
        <v>4.20192307692308</v>
      </c>
      <c r="I50" s="15">
        <v>1.97252884700777</v>
      </c>
      <c r="J50" s="15">
        <v>104.0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" t="s">
        <v>117</v>
      </c>
      <c r="B51" s="4" t="s">
        <v>118</v>
      </c>
      <c r="C51" s="4" t="s">
        <v>11</v>
      </c>
      <c r="D51" s="4" t="s">
        <v>12</v>
      </c>
      <c r="E51" s="4">
        <v>5.93518518518519</v>
      </c>
      <c r="F51" s="4">
        <v>1.01643640039117</v>
      </c>
      <c r="G51" s="4">
        <v>108.0</v>
      </c>
      <c r="H51" s="4">
        <v>3.50961538461538</v>
      </c>
      <c r="I51" s="4">
        <v>1.62501795244866</v>
      </c>
      <c r="J51" s="4">
        <v>104.0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119</v>
      </c>
      <c r="B52" s="9" t="s">
        <v>120</v>
      </c>
      <c r="C52" s="9" t="s">
        <v>39</v>
      </c>
      <c r="D52" s="9" t="s">
        <v>12</v>
      </c>
      <c r="E52" s="9">
        <v>2.09803921568627</v>
      </c>
      <c r="F52" s="9">
        <v>1.11257264906028</v>
      </c>
      <c r="G52" s="9">
        <v>102.0</v>
      </c>
      <c r="H52" s="9">
        <v>5.05940594059406</v>
      </c>
      <c r="I52" s="9">
        <v>1.91740335964146</v>
      </c>
      <c r="J52" s="9">
        <v>101.0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" t="s">
        <v>121</v>
      </c>
      <c r="B53" s="4" t="s">
        <v>122</v>
      </c>
      <c r="C53" s="4" t="s">
        <v>39</v>
      </c>
      <c r="D53" s="4" t="s">
        <v>12</v>
      </c>
      <c r="E53" s="4">
        <v>2.0990099009901</v>
      </c>
      <c r="F53" s="4">
        <v>1.04407806695716</v>
      </c>
      <c r="G53" s="4">
        <v>101.0</v>
      </c>
      <c r="H53" s="4">
        <v>3.59223300970874</v>
      </c>
      <c r="I53" s="4">
        <v>1.9675648989166</v>
      </c>
      <c r="J53" s="4">
        <v>103.0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123</v>
      </c>
      <c r="B54" s="4" t="s">
        <v>124</v>
      </c>
      <c r="C54" s="4" t="s">
        <v>39</v>
      </c>
      <c r="D54" s="4" t="s">
        <v>12</v>
      </c>
      <c r="E54" s="4">
        <v>2.11111111111111</v>
      </c>
      <c r="F54" s="4">
        <v>1.04419475153236</v>
      </c>
      <c r="G54" s="4">
        <v>108.0</v>
      </c>
      <c r="H54" s="4">
        <v>3.43269230769231</v>
      </c>
      <c r="I54" s="4">
        <v>1.78866128318351</v>
      </c>
      <c r="J54" s="4">
        <v>104.0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125</v>
      </c>
      <c r="B55" s="4" t="s">
        <v>126</v>
      </c>
      <c r="C55" s="4" t="s">
        <v>39</v>
      </c>
      <c r="D55" s="4" t="s">
        <v>12</v>
      </c>
      <c r="E55" s="4">
        <v>2.13725490196078</v>
      </c>
      <c r="F55" s="4">
        <v>1.00532459352294</v>
      </c>
      <c r="G55" s="4">
        <v>102.0</v>
      </c>
      <c r="H55" s="4">
        <v>3.32673267326733</v>
      </c>
      <c r="I55" s="4">
        <v>1.6976979171283</v>
      </c>
      <c r="J55" s="4">
        <v>101.0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127</v>
      </c>
      <c r="B56" s="12" t="s">
        <v>128</v>
      </c>
      <c r="C56" s="12" t="s">
        <v>15</v>
      </c>
      <c r="D56" s="12" t="s">
        <v>46</v>
      </c>
      <c r="E56" s="12">
        <v>2.13725490196078</v>
      </c>
      <c r="F56" s="12">
        <v>1.03444839355868</v>
      </c>
      <c r="G56" s="12">
        <v>102.0</v>
      </c>
      <c r="H56" s="12">
        <v>3.06930693069307</v>
      </c>
      <c r="I56" s="12">
        <v>1.94554581412299</v>
      </c>
      <c r="J56" s="12">
        <v>101.0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2" t="s">
        <v>129</v>
      </c>
      <c r="B57" s="4" t="s">
        <v>130</v>
      </c>
      <c r="C57" s="4" t="s">
        <v>15</v>
      </c>
      <c r="D57" s="4" t="s">
        <v>12</v>
      </c>
      <c r="E57" s="4">
        <v>2.14705882352941</v>
      </c>
      <c r="F57" s="4">
        <v>0.9270100859623</v>
      </c>
      <c r="G57" s="4">
        <v>102.0</v>
      </c>
      <c r="H57" s="4">
        <v>4.0990099009901</v>
      </c>
      <c r="I57" s="4">
        <v>1.7349636912342</v>
      </c>
      <c r="J57" s="4">
        <v>101.0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131</v>
      </c>
      <c r="B58" s="4" t="s">
        <v>132</v>
      </c>
      <c r="C58" s="4" t="s">
        <v>39</v>
      </c>
      <c r="D58" s="4" t="s">
        <v>12</v>
      </c>
      <c r="E58" s="4">
        <v>2.14851485148515</v>
      </c>
      <c r="F58" s="4">
        <v>1.08061222104751</v>
      </c>
      <c r="G58" s="4">
        <v>101.0</v>
      </c>
      <c r="H58" s="4">
        <v>3.80582524271845</v>
      </c>
      <c r="I58" s="4">
        <v>1.89973296589534</v>
      </c>
      <c r="J58" s="4">
        <v>103.0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133</v>
      </c>
      <c r="B59" s="4" t="s">
        <v>134</v>
      </c>
      <c r="C59" s="4" t="s">
        <v>39</v>
      </c>
      <c r="D59" s="4" t="s">
        <v>12</v>
      </c>
      <c r="E59" s="4">
        <v>2.18627450980392</v>
      </c>
      <c r="F59" s="4">
        <v>1.02184449958103</v>
      </c>
      <c r="G59" s="4">
        <v>102.0</v>
      </c>
      <c r="H59" s="4">
        <v>3.05940594059406</v>
      </c>
      <c r="I59" s="4">
        <v>1.77663604701817</v>
      </c>
      <c r="J59" s="4">
        <v>101.0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135</v>
      </c>
      <c r="B60" s="4" t="s">
        <v>136</v>
      </c>
      <c r="C60" s="4" t="s">
        <v>39</v>
      </c>
      <c r="D60" s="4" t="s">
        <v>12</v>
      </c>
      <c r="E60" s="4">
        <v>2.19607843137255</v>
      </c>
      <c r="F60" s="4">
        <v>0.975331532222767</v>
      </c>
      <c r="G60" s="4">
        <v>102.0</v>
      </c>
      <c r="H60" s="4">
        <v>2.86138613861386</v>
      </c>
      <c r="I60" s="4">
        <v>1.72063768975515</v>
      </c>
      <c r="J60" s="4">
        <v>101.0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 t="s">
        <v>137</v>
      </c>
      <c r="B61" s="9" t="s">
        <v>138</v>
      </c>
      <c r="C61" s="9" t="s">
        <v>39</v>
      </c>
      <c r="D61" s="9" t="s">
        <v>12</v>
      </c>
      <c r="E61" s="9">
        <v>2.22549019607843</v>
      </c>
      <c r="F61" s="9">
        <v>0.973987036580921</v>
      </c>
      <c r="G61" s="9">
        <v>102.0</v>
      </c>
      <c r="H61" s="9">
        <v>3.73267326732673</v>
      </c>
      <c r="I61" s="9">
        <v>1.77702610621741</v>
      </c>
      <c r="J61" s="9">
        <v>101.0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" t="s">
        <v>139</v>
      </c>
      <c r="B62" s="4" t="s">
        <v>140</v>
      </c>
      <c r="C62" s="4" t="s">
        <v>39</v>
      </c>
      <c r="D62" s="4" t="s">
        <v>12</v>
      </c>
      <c r="E62" s="4">
        <v>2.22772277227723</v>
      </c>
      <c r="F62" s="4">
        <v>1.27185838927777</v>
      </c>
      <c r="G62" s="4">
        <v>101.0</v>
      </c>
      <c r="H62" s="4">
        <v>4.52427184466019</v>
      </c>
      <c r="I62" s="4">
        <v>1.99432852818114</v>
      </c>
      <c r="J62" s="4">
        <v>103.0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141</v>
      </c>
      <c r="B63" s="4" t="s">
        <v>142</v>
      </c>
      <c r="C63" s="4" t="s">
        <v>39</v>
      </c>
      <c r="D63" s="4" t="s">
        <v>12</v>
      </c>
      <c r="E63" s="4">
        <v>2.23529411764706</v>
      </c>
      <c r="F63" s="4">
        <v>1.13605597571821</v>
      </c>
      <c r="G63" s="4">
        <v>102.0</v>
      </c>
      <c r="H63" s="4">
        <v>4.22772277227723</v>
      </c>
      <c r="I63" s="4">
        <v>1.76567940532143</v>
      </c>
      <c r="J63" s="4">
        <v>101.0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143</v>
      </c>
      <c r="B64" s="9" t="s">
        <v>144</v>
      </c>
      <c r="C64" s="9" t="s">
        <v>39</v>
      </c>
      <c r="D64" s="9" t="s">
        <v>12</v>
      </c>
      <c r="E64" s="9">
        <v>2.23529411764706</v>
      </c>
      <c r="F64" s="9">
        <v>1.04527669924516</v>
      </c>
      <c r="G64" s="9">
        <v>102.0</v>
      </c>
      <c r="H64" s="9">
        <v>4.12871287128713</v>
      </c>
      <c r="I64" s="9">
        <v>1.82023826097922</v>
      </c>
      <c r="J64" s="9">
        <v>101.0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" t="s">
        <v>145</v>
      </c>
      <c r="B65" s="4" t="s">
        <v>146</v>
      </c>
      <c r="C65" s="4" t="s">
        <v>39</v>
      </c>
      <c r="D65" s="4" t="s">
        <v>12</v>
      </c>
      <c r="E65" s="4">
        <v>2.25742574257426</v>
      </c>
      <c r="F65" s="4">
        <v>1.24622201349948</v>
      </c>
      <c r="G65" s="4">
        <v>101.0</v>
      </c>
      <c r="H65" s="4">
        <v>4.81553398058252</v>
      </c>
      <c r="I65" s="4">
        <v>1.90328700614373</v>
      </c>
      <c r="J65" s="4">
        <v>103.0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147</v>
      </c>
      <c r="B66" s="4" t="s">
        <v>148</v>
      </c>
      <c r="C66" s="4" t="s">
        <v>15</v>
      </c>
      <c r="D66" s="4" t="s">
        <v>149</v>
      </c>
      <c r="E66" s="4">
        <v>2.25742574257426</v>
      </c>
      <c r="F66" s="4">
        <v>1.10139425590053</v>
      </c>
      <c r="G66" s="4">
        <v>101.0</v>
      </c>
      <c r="H66" s="4">
        <v>3.90291262135922</v>
      </c>
      <c r="I66" s="4">
        <v>1.99270514286679</v>
      </c>
      <c r="J66" s="4">
        <v>103.0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150</v>
      </c>
      <c r="B67" s="4" t="s">
        <v>151</v>
      </c>
      <c r="C67" s="4" t="s">
        <v>25</v>
      </c>
      <c r="D67" s="4" t="s">
        <v>12</v>
      </c>
      <c r="E67" s="4">
        <v>2.26470588235294</v>
      </c>
      <c r="F67" s="4">
        <v>1.29680850123522</v>
      </c>
      <c r="G67" s="4">
        <v>102.0</v>
      </c>
      <c r="H67" s="4">
        <v>4.10891089108911</v>
      </c>
      <c r="I67" s="4">
        <v>2.16749159213599</v>
      </c>
      <c r="J67" s="4">
        <v>101.0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152</v>
      </c>
      <c r="B68" s="4" t="s">
        <v>153</v>
      </c>
      <c r="C68" s="4" t="s">
        <v>25</v>
      </c>
      <c r="D68" s="4" t="s">
        <v>12</v>
      </c>
      <c r="E68" s="4">
        <v>2.2843137254902</v>
      </c>
      <c r="F68" s="4">
        <v>1.23783147160143</v>
      </c>
      <c r="G68" s="4">
        <v>102.0</v>
      </c>
      <c r="H68" s="4">
        <v>3.94059405940594</v>
      </c>
      <c r="I68" s="4">
        <v>2.08720761870121</v>
      </c>
      <c r="J68" s="4">
        <v>101.0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154</v>
      </c>
      <c r="B69" s="4" t="s">
        <v>155</v>
      </c>
      <c r="C69" s="4" t="s">
        <v>39</v>
      </c>
      <c r="D69" s="4" t="s">
        <v>12</v>
      </c>
      <c r="E69" s="4">
        <v>2.29411764705882</v>
      </c>
      <c r="F69" s="4">
        <v>1.1568841328816</v>
      </c>
      <c r="G69" s="4">
        <v>102.0</v>
      </c>
      <c r="H69" s="4">
        <v>4.28712871287129</v>
      </c>
      <c r="I69" s="4">
        <v>1.74548923607891</v>
      </c>
      <c r="J69" s="4">
        <v>101.0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156</v>
      </c>
      <c r="B70" s="4" t="s">
        <v>157</v>
      </c>
      <c r="C70" s="4" t="s">
        <v>11</v>
      </c>
      <c r="D70" s="4" t="s">
        <v>12</v>
      </c>
      <c r="E70" s="4">
        <v>5.93137254901961</v>
      </c>
      <c r="F70" s="4">
        <v>1.24486910458723</v>
      </c>
      <c r="G70" s="4">
        <v>102.0</v>
      </c>
      <c r="H70" s="4">
        <v>3.97029702970297</v>
      </c>
      <c r="I70" s="4">
        <v>1.79697215083904</v>
      </c>
      <c r="J70" s="4">
        <v>101.0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4" t="s">
        <v>158</v>
      </c>
      <c r="B71" s="15" t="s">
        <v>159</v>
      </c>
      <c r="C71" s="15" t="s">
        <v>25</v>
      </c>
      <c r="D71" s="15" t="s">
        <v>160</v>
      </c>
      <c r="E71" s="15">
        <v>2.32407407407407</v>
      </c>
      <c r="F71" s="15">
        <v>1.1007958353379</v>
      </c>
      <c r="G71" s="15">
        <v>108.0</v>
      </c>
      <c r="H71" s="15">
        <v>3.81730769230769</v>
      </c>
      <c r="I71" s="15">
        <v>2.01337480812652</v>
      </c>
      <c r="J71" s="15">
        <v>104.0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1" t="s">
        <v>161</v>
      </c>
      <c r="B72" s="12" t="s">
        <v>162</v>
      </c>
      <c r="C72" s="12" t="s">
        <v>15</v>
      </c>
      <c r="D72" s="12" t="s">
        <v>12</v>
      </c>
      <c r="E72" s="12">
        <v>2.33333333333333</v>
      </c>
      <c r="F72" s="12">
        <v>1.06779535299975</v>
      </c>
      <c r="G72" s="12">
        <v>108.0</v>
      </c>
      <c r="H72" s="12">
        <v>4.16346153846154</v>
      </c>
      <c r="I72" s="12">
        <v>1.80673269939137</v>
      </c>
      <c r="J72" s="12">
        <v>104.0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2" t="s">
        <v>163</v>
      </c>
      <c r="B73" s="4" t="s">
        <v>164</v>
      </c>
      <c r="C73" s="4" t="s">
        <v>11</v>
      </c>
      <c r="D73" s="4" t="s">
        <v>12</v>
      </c>
      <c r="E73" s="4">
        <v>5.92592592592593</v>
      </c>
      <c r="F73" s="4">
        <v>1.02038753590668</v>
      </c>
      <c r="G73" s="4">
        <v>108.0</v>
      </c>
      <c r="H73" s="4">
        <v>3.84615384615385</v>
      </c>
      <c r="I73" s="4">
        <v>1.71101077700118</v>
      </c>
      <c r="J73" s="4">
        <v>104.0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165</v>
      </c>
      <c r="B74" s="4" t="s">
        <v>166</v>
      </c>
      <c r="C74" s="4" t="s">
        <v>11</v>
      </c>
      <c r="D74" s="4" t="s">
        <v>12</v>
      </c>
      <c r="E74" s="4">
        <v>5.92079207920792</v>
      </c>
      <c r="F74" s="4">
        <v>1.23841163041076</v>
      </c>
      <c r="G74" s="4">
        <v>101.0</v>
      </c>
      <c r="H74" s="4">
        <v>4.27184466019417</v>
      </c>
      <c r="I74" s="4">
        <v>1.85870593164676</v>
      </c>
      <c r="J74" s="4">
        <v>103.0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167</v>
      </c>
      <c r="B75" s="4" t="s">
        <v>168</v>
      </c>
      <c r="C75" s="4" t="s">
        <v>39</v>
      </c>
      <c r="D75" s="4" t="s">
        <v>12</v>
      </c>
      <c r="E75" s="4">
        <v>2.35643564356436</v>
      </c>
      <c r="F75" s="4">
        <v>1.10076481062797</v>
      </c>
      <c r="G75" s="4">
        <v>101.0</v>
      </c>
      <c r="H75" s="4">
        <v>3.85436893203884</v>
      </c>
      <c r="I75" s="4">
        <v>1.79546141860302</v>
      </c>
      <c r="J75" s="4">
        <v>103.0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169</v>
      </c>
      <c r="B76" s="4" t="s">
        <v>170</v>
      </c>
      <c r="C76" s="4" t="s">
        <v>39</v>
      </c>
      <c r="D76" s="4" t="s">
        <v>12</v>
      </c>
      <c r="E76" s="4">
        <v>2.36274509803922</v>
      </c>
      <c r="F76" s="4">
        <v>1.04160211409379</v>
      </c>
      <c r="G76" s="4">
        <v>102.0</v>
      </c>
      <c r="H76" s="4">
        <v>4.12871287128713</v>
      </c>
      <c r="I76" s="4">
        <v>1.7126784072711</v>
      </c>
      <c r="J76" s="4">
        <v>101.0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4" t="s">
        <v>171</v>
      </c>
      <c r="B77" s="15" t="s">
        <v>172</v>
      </c>
      <c r="C77" s="15" t="s">
        <v>25</v>
      </c>
      <c r="D77" s="15" t="s">
        <v>46</v>
      </c>
      <c r="E77" s="15">
        <v>2.37254901960784</v>
      </c>
      <c r="F77" s="15">
        <v>1.26586227511269</v>
      </c>
      <c r="G77" s="15">
        <v>102.0</v>
      </c>
      <c r="H77" s="15">
        <v>4.8019801980198</v>
      </c>
      <c r="I77" s="15">
        <v>1.92883281795078</v>
      </c>
      <c r="J77" s="15">
        <v>101.0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" t="s">
        <v>173</v>
      </c>
      <c r="B78" s="4" t="s">
        <v>174</v>
      </c>
      <c r="C78" s="4" t="s">
        <v>39</v>
      </c>
      <c r="D78" s="4" t="s">
        <v>12</v>
      </c>
      <c r="E78" s="4">
        <v>2.37623762376238</v>
      </c>
      <c r="F78" s="4">
        <v>1.58019926052707</v>
      </c>
      <c r="G78" s="4">
        <v>101.0</v>
      </c>
      <c r="H78" s="4">
        <v>4.99029126213592</v>
      </c>
      <c r="I78" s="4">
        <v>1.92758685687708</v>
      </c>
      <c r="J78" s="4">
        <v>103.0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175</v>
      </c>
      <c r="B79" s="4" t="s">
        <v>176</v>
      </c>
      <c r="C79" s="4" t="s">
        <v>11</v>
      </c>
      <c r="D79" s="4" t="s">
        <v>12</v>
      </c>
      <c r="E79" s="4">
        <v>5.91666666666667</v>
      </c>
      <c r="F79" s="4">
        <v>0.958240209480598</v>
      </c>
      <c r="G79" s="4">
        <v>108.0</v>
      </c>
      <c r="H79" s="4">
        <v>4.25</v>
      </c>
      <c r="I79" s="4">
        <v>1.36353338828606</v>
      </c>
      <c r="J79" s="4">
        <v>104.0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177</v>
      </c>
      <c r="B80" s="4" t="s">
        <v>178</v>
      </c>
      <c r="C80" s="4" t="s">
        <v>39</v>
      </c>
      <c r="D80" s="4" t="s">
        <v>12</v>
      </c>
      <c r="E80" s="4">
        <v>2.3960396039604</v>
      </c>
      <c r="F80" s="4">
        <v>1.5170972804721</v>
      </c>
      <c r="G80" s="4">
        <v>101.0</v>
      </c>
      <c r="H80" s="4">
        <v>4.58252427184466</v>
      </c>
      <c r="I80" s="4">
        <v>1.87618862635397</v>
      </c>
      <c r="J80" s="4">
        <v>103.0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179</v>
      </c>
      <c r="B81" s="4" t="s">
        <v>180</v>
      </c>
      <c r="C81" s="4" t="s">
        <v>25</v>
      </c>
      <c r="D81" s="4" t="s">
        <v>46</v>
      </c>
      <c r="E81" s="4">
        <v>2.39814814814815</v>
      </c>
      <c r="F81" s="4">
        <v>1.47210710966729</v>
      </c>
      <c r="G81" s="4">
        <v>108.0</v>
      </c>
      <c r="H81" s="4">
        <v>4.72115384615385</v>
      </c>
      <c r="I81" s="4">
        <v>2.17423898423508</v>
      </c>
      <c r="J81" s="4">
        <v>104.0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181</v>
      </c>
      <c r="B82" s="4" t="s">
        <v>182</v>
      </c>
      <c r="C82" s="4" t="s">
        <v>11</v>
      </c>
      <c r="D82" s="4" t="s">
        <v>12</v>
      </c>
      <c r="E82" s="4">
        <v>5.90740740740741</v>
      </c>
      <c r="F82" s="4">
        <v>1.05491317831203</v>
      </c>
      <c r="G82" s="4">
        <v>108.0</v>
      </c>
      <c r="H82" s="4">
        <v>3.47115384615385</v>
      </c>
      <c r="I82" s="4">
        <v>1.6660908888437</v>
      </c>
      <c r="J82" s="4">
        <v>104.0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183</v>
      </c>
      <c r="B83" s="4" t="s">
        <v>184</v>
      </c>
      <c r="C83" s="4" t="s">
        <v>11</v>
      </c>
      <c r="D83" s="4" t="s">
        <v>12</v>
      </c>
      <c r="E83" s="4">
        <v>5.87037037037037</v>
      </c>
      <c r="F83" s="4">
        <v>1.09452838469739</v>
      </c>
      <c r="G83" s="4">
        <v>108.0</v>
      </c>
      <c r="H83" s="4">
        <v>3.375</v>
      </c>
      <c r="I83" s="4">
        <v>1.46272454918762</v>
      </c>
      <c r="J83" s="4">
        <v>104.0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185</v>
      </c>
      <c r="B84" s="4" t="s">
        <v>186</v>
      </c>
      <c r="C84" s="4" t="s">
        <v>25</v>
      </c>
      <c r="D84" s="4" t="s">
        <v>12</v>
      </c>
      <c r="E84" s="4">
        <v>2.45098039215686</v>
      </c>
      <c r="F84" s="4">
        <v>1.30973091469914</v>
      </c>
      <c r="G84" s="4">
        <v>102.0</v>
      </c>
      <c r="H84" s="4">
        <v>3.94059405940594</v>
      </c>
      <c r="I84" s="4">
        <v>2.06795445877426</v>
      </c>
      <c r="J84" s="4">
        <v>101.0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187</v>
      </c>
      <c r="B85" s="4" t="s">
        <v>188</v>
      </c>
      <c r="C85" s="4" t="s">
        <v>39</v>
      </c>
      <c r="D85" s="4" t="s">
        <v>12</v>
      </c>
      <c r="E85" s="4">
        <v>2.45544554455446</v>
      </c>
      <c r="F85" s="4">
        <v>1.45275429770658</v>
      </c>
      <c r="G85" s="4">
        <v>101.0</v>
      </c>
      <c r="H85" s="4">
        <v>4.38834951456311</v>
      </c>
      <c r="I85" s="4">
        <v>2.16130411661225</v>
      </c>
      <c r="J85" s="4">
        <v>103.0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189</v>
      </c>
      <c r="B86" s="4" t="s">
        <v>190</v>
      </c>
      <c r="C86" s="4" t="s">
        <v>11</v>
      </c>
      <c r="D86" s="4" t="s">
        <v>12</v>
      </c>
      <c r="E86" s="4">
        <v>5.85294117647059</v>
      </c>
      <c r="F86" s="4">
        <v>1.22188831969721</v>
      </c>
      <c r="G86" s="4">
        <v>102.0</v>
      </c>
      <c r="H86" s="4">
        <v>3.64356435643564</v>
      </c>
      <c r="I86" s="4">
        <v>1.70636548497584</v>
      </c>
      <c r="J86" s="4">
        <v>101.0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191</v>
      </c>
      <c r="B87" s="4" t="s">
        <v>192</v>
      </c>
      <c r="C87" s="4" t="s">
        <v>39</v>
      </c>
      <c r="D87" s="4" t="s">
        <v>12</v>
      </c>
      <c r="E87" s="4">
        <v>2.47058823529412</v>
      </c>
      <c r="F87" s="4">
        <v>1.19988351210961</v>
      </c>
      <c r="G87" s="4">
        <v>102.0</v>
      </c>
      <c r="H87" s="4">
        <v>4.66336633663366</v>
      </c>
      <c r="I87" s="4">
        <v>1.73365064371558</v>
      </c>
      <c r="J87" s="4">
        <v>101.0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193</v>
      </c>
      <c r="B88" s="4" t="s">
        <v>194</v>
      </c>
      <c r="C88" s="4" t="s">
        <v>39</v>
      </c>
      <c r="D88" s="4" t="s">
        <v>12</v>
      </c>
      <c r="E88" s="4">
        <v>2.47524752475248</v>
      </c>
      <c r="F88" s="4">
        <v>1.33112027560203</v>
      </c>
      <c r="G88" s="4">
        <v>101.0</v>
      </c>
      <c r="H88" s="4">
        <v>3.62135922330097</v>
      </c>
      <c r="I88" s="4">
        <v>1.85301294057241</v>
      </c>
      <c r="J88" s="4">
        <v>103.0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195</v>
      </c>
      <c r="B89" s="4" t="s">
        <v>196</v>
      </c>
      <c r="C89" s="4" t="s">
        <v>11</v>
      </c>
      <c r="D89" s="4" t="s">
        <v>12</v>
      </c>
      <c r="E89" s="4">
        <v>5.84313725490196</v>
      </c>
      <c r="F89" s="4">
        <v>1.05064900300206</v>
      </c>
      <c r="G89" s="4">
        <v>102.0</v>
      </c>
      <c r="H89" s="4">
        <v>3.48514851485149</v>
      </c>
      <c r="I89" s="4">
        <v>1.65296014099638</v>
      </c>
      <c r="J89" s="4">
        <v>101.0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197</v>
      </c>
      <c r="B90" s="4" t="s">
        <v>198</v>
      </c>
      <c r="C90" s="4" t="s">
        <v>39</v>
      </c>
      <c r="D90" s="4" t="s">
        <v>12</v>
      </c>
      <c r="E90" s="4">
        <v>2.5</v>
      </c>
      <c r="F90" s="4">
        <v>1.33605640935253</v>
      </c>
      <c r="G90" s="4">
        <v>108.0</v>
      </c>
      <c r="H90" s="4">
        <v>4.30769230769231</v>
      </c>
      <c r="I90" s="4">
        <v>2.03406390806095</v>
      </c>
      <c r="J90" s="4">
        <v>104.0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199</v>
      </c>
      <c r="B91" s="4" t="s">
        <v>200</v>
      </c>
      <c r="C91" s="4" t="s">
        <v>11</v>
      </c>
      <c r="D91" s="4" t="s">
        <v>12</v>
      </c>
      <c r="E91" s="4">
        <v>5.84158415841584</v>
      </c>
      <c r="F91" s="4">
        <v>1.16389581378512</v>
      </c>
      <c r="G91" s="4">
        <v>101.0</v>
      </c>
      <c r="H91" s="4">
        <v>4.11650485436893</v>
      </c>
      <c r="I91" s="4">
        <v>1.74502638259615</v>
      </c>
      <c r="J91" s="4">
        <v>103.0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201</v>
      </c>
      <c r="B92" s="4" t="s">
        <v>202</v>
      </c>
      <c r="C92" s="4" t="s">
        <v>11</v>
      </c>
      <c r="D92" s="4" t="s">
        <v>12</v>
      </c>
      <c r="E92" s="4">
        <v>5.83333333333333</v>
      </c>
      <c r="F92" s="4">
        <v>1.06318532547418</v>
      </c>
      <c r="G92" s="4">
        <v>102.0</v>
      </c>
      <c r="H92" s="4">
        <v>3.96039603960396</v>
      </c>
      <c r="I92" s="4">
        <v>1.69068502139936</v>
      </c>
      <c r="J92" s="4">
        <v>101.0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203</v>
      </c>
      <c r="B93" s="4" t="s">
        <v>204</v>
      </c>
      <c r="C93" s="4" t="s">
        <v>39</v>
      </c>
      <c r="D93" s="4" t="s">
        <v>12</v>
      </c>
      <c r="E93" s="4">
        <v>2.50980392156863</v>
      </c>
      <c r="F93" s="4">
        <v>1.22470524268888</v>
      </c>
      <c r="G93" s="4">
        <v>102.0</v>
      </c>
      <c r="H93" s="4">
        <v>4.7029702970297</v>
      </c>
      <c r="I93" s="4">
        <v>1.83054393258094</v>
      </c>
      <c r="J93" s="4">
        <v>101.0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205</v>
      </c>
      <c r="B94" s="4" t="s">
        <v>206</v>
      </c>
      <c r="C94" s="4" t="s">
        <v>39</v>
      </c>
      <c r="D94" s="4" t="s">
        <v>12</v>
      </c>
      <c r="E94" s="4">
        <v>2.51960784313725</v>
      </c>
      <c r="F94" s="4">
        <v>1.19180694958806</v>
      </c>
      <c r="G94" s="4">
        <v>102.0</v>
      </c>
      <c r="H94" s="4">
        <v>3.9009900990099</v>
      </c>
      <c r="I94" s="4">
        <v>1.85744421447886</v>
      </c>
      <c r="J94" s="4">
        <v>101.0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207</v>
      </c>
      <c r="B95" s="4" t="s">
        <v>208</v>
      </c>
      <c r="C95" s="4" t="s">
        <v>15</v>
      </c>
      <c r="D95" s="4" t="s">
        <v>12</v>
      </c>
      <c r="E95" s="4">
        <v>2.53465346534653</v>
      </c>
      <c r="F95" s="4">
        <v>1.21296625209149</v>
      </c>
      <c r="G95" s="4">
        <v>101.0</v>
      </c>
      <c r="H95" s="4">
        <v>3.15533980582524</v>
      </c>
      <c r="I95" s="4">
        <v>1.7643378003081</v>
      </c>
      <c r="J95" s="4">
        <v>103.0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209</v>
      </c>
      <c r="B96" s="4" t="s">
        <v>210</v>
      </c>
      <c r="C96" s="4" t="s">
        <v>15</v>
      </c>
      <c r="D96" s="4" t="s">
        <v>12</v>
      </c>
      <c r="E96" s="4">
        <v>2.54901960784314</v>
      </c>
      <c r="F96" s="4">
        <v>1.1909514540687</v>
      </c>
      <c r="G96" s="4">
        <v>102.0</v>
      </c>
      <c r="H96" s="4">
        <v>3.6039603960396</v>
      </c>
      <c r="I96" s="4">
        <v>1.79487719870075</v>
      </c>
      <c r="J96" s="4">
        <v>101.0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211</v>
      </c>
      <c r="B97" s="4" t="s">
        <v>212</v>
      </c>
      <c r="C97" s="4" t="s">
        <v>11</v>
      </c>
      <c r="D97" s="4" t="s">
        <v>213</v>
      </c>
      <c r="E97" s="4">
        <v>5.82352941176471</v>
      </c>
      <c r="F97" s="4">
        <v>1.03800803814094</v>
      </c>
      <c r="G97" s="4">
        <v>102.0</v>
      </c>
      <c r="H97" s="4">
        <v>4.06930693069307</v>
      </c>
      <c r="I97" s="4">
        <v>1.69857249325764</v>
      </c>
      <c r="J97" s="4">
        <v>101.0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214</v>
      </c>
      <c r="B98" s="4" t="s">
        <v>215</v>
      </c>
      <c r="C98" s="4" t="s">
        <v>11</v>
      </c>
      <c r="D98" s="4" t="s">
        <v>12</v>
      </c>
      <c r="E98" s="4">
        <v>5.81481481481481</v>
      </c>
      <c r="F98" s="4">
        <v>1.00603922321994</v>
      </c>
      <c r="G98" s="4">
        <v>108.0</v>
      </c>
      <c r="H98" s="4">
        <v>3.44230769230769</v>
      </c>
      <c r="I98" s="4">
        <v>1.55686343301732</v>
      </c>
      <c r="J98" s="4">
        <v>104.0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216</v>
      </c>
      <c r="B99" s="4" t="s">
        <v>217</v>
      </c>
      <c r="C99" s="4" t="s">
        <v>11</v>
      </c>
      <c r="D99" s="4" t="s">
        <v>12</v>
      </c>
      <c r="E99" s="4">
        <v>5.80555555555556</v>
      </c>
      <c r="F99" s="4">
        <v>0.941844812636531</v>
      </c>
      <c r="G99" s="4">
        <v>108.0</v>
      </c>
      <c r="H99" s="4">
        <v>3.69230769230769</v>
      </c>
      <c r="I99" s="4">
        <v>1.5646391257177</v>
      </c>
      <c r="J99" s="4">
        <v>104.0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218</v>
      </c>
      <c r="B100" s="4" t="s">
        <v>219</v>
      </c>
      <c r="C100" s="4" t="s">
        <v>11</v>
      </c>
      <c r="D100" s="4" t="s">
        <v>46</v>
      </c>
      <c r="E100" s="4">
        <v>5.79411764705882</v>
      </c>
      <c r="F100" s="4">
        <v>1.03730644425332</v>
      </c>
      <c r="G100" s="4">
        <v>102.0</v>
      </c>
      <c r="H100" s="4">
        <v>4.51485148514851</v>
      </c>
      <c r="I100" s="4">
        <v>1.57869478612009</v>
      </c>
      <c r="J100" s="4">
        <v>101.0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220</v>
      </c>
      <c r="B101" s="4" t="s">
        <v>221</v>
      </c>
      <c r="C101" s="4" t="s">
        <v>11</v>
      </c>
      <c r="D101" s="4" t="s">
        <v>12</v>
      </c>
      <c r="E101" s="4">
        <v>5.79411764705882</v>
      </c>
      <c r="F101" s="4">
        <v>1.13746491878549</v>
      </c>
      <c r="G101" s="4">
        <v>102.0</v>
      </c>
      <c r="H101" s="4">
        <v>4.15841584158416</v>
      </c>
      <c r="I101" s="4">
        <v>1.59832833465047</v>
      </c>
      <c r="J101" s="4">
        <v>101.0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222</v>
      </c>
      <c r="B102" s="12" t="s">
        <v>223</v>
      </c>
      <c r="C102" s="12" t="s">
        <v>15</v>
      </c>
      <c r="D102" s="12" t="s">
        <v>12</v>
      </c>
      <c r="E102" s="12">
        <v>2.59803921568627</v>
      </c>
      <c r="F102" s="12">
        <v>1.32201319567394</v>
      </c>
      <c r="G102" s="12">
        <v>102.0</v>
      </c>
      <c r="H102" s="12">
        <v>4.00990099009901</v>
      </c>
      <c r="I102" s="12">
        <v>1.70584319036042</v>
      </c>
      <c r="J102" s="12">
        <v>101.0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2" t="s">
        <v>224</v>
      </c>
      <c r="B103" s="4" t="s">
        <v>225</v>
      </c>
      <c r="C103" s="4" t="s">
        <v>15</v>
      </c>
      <c r="D103" s="4" t="s">
        <v>12</v>
      </c>
      <c r="E103" s="4">
        <v>2.59803921568627</v>
      </c>
      <c r="F103" s="4">
        <v>1.4709046446641</v>
      </c>
      <c r="G103" s="4">
        <v>102.0</v>
      </c>
      <c r="H103" s="4">
        <v>1.87128712871287</v>
      </c>
      <c r="I103" s="4">
        <v>1.26224693571926</v>
      </c>
      <c r="J103" s="4">
        <v>101.0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226</v>
      </c>
      <c r="B104" s="4" t="s">
        <v>227</v>
      </c>
      <c r="C104" s="4" t="s">
        <v>39</v>
      </c>
      <c r="D104" s="4" t="s">
        <v>12</v>
      </c>
      <c r="E104" s="4">
        <v>2.6039603960396</v>
      </c>
      <c r="F104" s="4">
        <v>1.37897939013454</v>
      </c>
      <c r="G104" s="4">
        <v>101.0</v>
      </c>
      <c r="H104" s="4">
        <v>4.1747572815534</v>
      </c>
      <c r="I104" s="4">
        <v>1.84936228789351</v>
      </c>
      <c r="J104" s="4">
        <v>103.0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228</v>
      </c>
      <c r="B105" s="4" t="s">
        <v>229</v>
      </c>
      <c r="C105" s="4" t="s">
        <v>39</v>
      </c>
      <c r="D105" s="4" t="s">
        <v>46</v>
      </c>
      <c r="E105" s="4">
        <v>2.61111111111111</v>
      </c>
      <c r="F105" s="4">
        <v>1.12601632873847</v>
      </c>
      <c r="G105" s="4">
        <v>108.0</v>
      </c>
      <c r="H105" s="4">
        <v>3.375</v>
      </c>
      <c r="I105" s="4">
        <v>1.94680470096241</v>
      </c>
      <c r="J105" s="4">
        <v>104.0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230</v>
      </c>
      <c r="B106" s="4" t="s">
        <v>231</v>
      </c>
      <c r="C106" s="4" t="s">
        <v>11</v>
      </c>
      <c r="D106" s="4" t="s">
        <v>12</v>
      </c>
      <c r="E106" s="4">
        <v>5.7843137254902</v>
      </c>
      <c r="F106" s="4">
        <v>1.29452350636156</v>
      </c>
      <c r="G106" s="4">
        <v>102.0</v>
      </c>
      <c r="H106" s="4">
        <v>4.10891089108911</v>
      </c>
      <c r="I106" s="4">
        <v>1.63034346135414</v>
      </c>
      <c r="J106" s="4">
        <v>101.0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232</v>
      </c>
      <c r="B107" s="12" t="s">
        <v>233</v>
      </c>
      <c r="C107" s="12" t="s">
        <v>15</v>
      </c>
      <c r="D107" s="12" t="s">
        <v>12</v>
      </c>
      <c r="E107" s="12">
        <v>2.62037037037037</v>
      </c>
      <c r="F107" s="12">
        <v>1.18177430829638</v>
      </c>
      <c r="G107" s="12">
        <v>108.0</v>
      </c>
      <c r="H107" s="12">
        <v>3.18269230769231</v>
      </c>
      <c r="I107" s="12">
        <v>1.68237247573916</v>
      </c>
      <c r="J107" s="12">
        <v>104.0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2" t="s">
        <v>234</v>
      </c>
      <c r="B108" s="4" t="s">
        <v>235</v>
      </c>
      <c r="C108" s="4" t="s">
        <v>11</v>
      </c>
      <c r="D108" s="4" t="s">
        <v>12</v>
      </c>
      <c r="E108" s="4">
        <v>5.7843137254902</v>
      </c>
      <c r="F108" s="4">
        <v>1.1657441508986</v>
      </c>
      <c r="G108" s="4">
        <v>102.0</v>
      </c>
      <c r="H108" s="4">
        <v>3.84158415841584</v>
      </c>
      <c r="I108" s="4">
        <v>1.62931073320792</v>
      </c>
      <c r="J108" s="4">
        <v>101.0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236</v>
      </c>
      <c r="B109" s="4" t="s">
        <v>237</v>
      </c>
      <c r="C109" s="4" t="s">
        <v>39</v>
      </c>
      <c r="D109" s="4" t="s">
        <v>12</v>
      </c>
      <c r="E109" s="4">
        <v>2.63725490196078</v>
      </c>
      <c r="F109" s="4">
        <v>1.54656576231144</v>
      </c>
      <c r="G109" s="4">
        <v>102.0</v>
      </c>
      <c r="H109" s="4">
        <v>5.23762376237624</v>
      </c>
      <c r="I109" s="4">
        <v>1.63797750199131</v>
      </c>
      <c r="J109" s="4">
        <v>101.0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238</v>
      </c>
      <c r="B110" s="4" t="s">
        <v>239</v>
      </c>
      <c r="C110" s="4" t="s">
        <v>11</v>
      </c>
      <c r="D110" s="4" t="s">
        <v>12</v>
      </c>
      <c r="E110" s="4">
        <v>5.76851851851852</v>
      </c>
      <c r="F110" s="4">
        <v>0.913107884644336</v>
      </c>
      <c r="G110" s="4">
        <v>108.0</v>
      </c>
      <c r="H110" s="4">
        <v>3.36538461538462</v>
      </c>
      <c r="I110" s="4">
        <v>1.70127132535627</v>
      </c>
      <c r="J110" s="4">
        <v>104.0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240</v>
      </c>
      <c r="B111" s="4" t="s">
        <v>241</v>
      </c>
      <c r="C111" s="4" t="s">
        <v>15</v>
      </c>
      <c r="D111" s="4" t="s">
        <v>12</v>
      </c>
      <c r="E111" s="4">
        <v>2.64356435643564</v>
      </c>
      <c r="F111" s="4">
        <v>1.50721039285059</v>
      </c>
      <c r="G111" s="4">
        <v>101.0</v>
      </c>
      <c r="H111" s="4">
        <v>4.1747572815534</v>
      </c>
      <c r="I111" s="4">
        <v>1.8861059816043</v>
      </c>
      <c r="J111" s="4">
        <v>103.0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242</v>
      </c>
      <c r="B112" s="4" t="s">
        <v>243</v>
      </c>
      <c r="C112" s="4" t="s">
        <v>39</v>
      </c>
      <c r="D112" s="4" t="s">
        <v>12</v>
      </c>
      <c r="E112" s="4">
        <v>2.64705882352941</v>
      </c>
      <c r="F112" s="4">
        <v>1.57106925072224</v>
      </c>
      <c r="G112" s="4">
        <v>102.0</v>
      </c>
      <c r="H112" s="4">
        <v>5.14851485148515</v>
      </c>
      <c r="I112" s="4">
        <v>1.68751971018926</v>
      </c>
      <c r="J112" s="4">
        <v>101.0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4" t="s">
        <v>244</v>
      </c>
      <c r="B113" s="15" t="s">
        <v>245</v>
      </c>
      <c r="C113" s="15" t="s">
        <v>25</v>
      </c>
      <c r="D113" s="15" t="s">
        <v>46</v>
      </c>
      <c r="E113" s="15">
        <v>2.64705882352941</v>
      </c>
      <c r="F113" s="15">
        <v>1.27928707577623</v>
      </c>
      <c r="G113" s="15">
        <v>102.0</v>
      </c>
      <c r="H113" s="15">
        <v>5.08910891089109</v>
      </c>
      <c r="I113" s="15">
        <v>1.56268365257329</v>
      </c>
      <c r="J113" s="15">
        <v>101.0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" t="s">
        <v>246</v>
      </c>
      <c r="B114" s="4" t="s">
        <v>247</v>
      </c>
      <c r="C114" s="4" t="s">
        <v>39</v>
      </c>
      <c r="D114" s="4" t="s">
        <v>12</v>
      </c>
      <c r="E114" s="4">
        <v>2.64814814814815</v>
      </c>
      <c r="F114" s="4">
        <v>1.60207117588869</v>
      </c>
      <c r="G114" s="4">
        <v>108.0</v>
      </c>
      <c r="H114" s="4">
        <v>4.92307692307692</v>
      </c>
      <c r="I114" s="4">
        <v>1.89886173207017</v>
      </c>
      <c r="J114" s="4">
        <v>104.0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248</v>
      </c>
      <c r="B115" s="4" t="s">
        <v>249</v>
      </c>
      <c r="C115" s="4" t="s">
        <v>11</v>
      </c>
      <c r="D115" s="4" t="s">
        <v>12</v>
      </c>
      <c r="E115" s="4">
        <v>5.76470588235294</v>
      </c>
      <c r="F115" s="4">
        <v>1.19550702271095</v>
      </c>
      <c r="G115" s="4">
        <v>102.0</v>
      </c>
      <c r="H115" s="4">
        <v>4.04950495049505</v>
      </c>
      <c r="I115" s="4">
        <v>1.54516172372838</v>
      </c>
      <c r="J115" s="4">
        <v>101.0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250</v>
      </c>
      <c r="B116" s="4" t="s">
        <v>251</v>
      </c>
      <c r="C116" s="4" t="s">
        <v>39</v>
      </c>
      <c r="D116" s="4" t="s">
        <v>12</v>
      </c>
      <c r="E116" s="4">
        <v>2.66336633663366</v>
      </c>
      <c r="F116" s="4">
        <v>1.22700633839253</v>
      </c>
      <c r="G116" s="4">
        <v>101.0</v>
      </c>
      <c r="H116" s="4">
        <v>4.67961165048544</v>
      </c>
      <c r="I116" s="4">
        <v>1.84822963640413</v>
      </c>
      <c r="J116" s="4">
        <v>103.0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252</v>
      </c>
      <c r="B117" s="4" t="s">
        <v>253</v>
      </c>
      <c r="C117" s="4" t="s">
        <v>25</v>
      </c>
      <c r="D117" s="4" t="s">
        <v>254</v>
      </c>
      <c r="E117" s="4">
        <v>2.67647058823529</v>
      </c>
      <c r="F117" s="4">
        <v>1.40833280204098</v>
      </c>
      <c r="G117" s="4">
        <v>102.0</v>
      </c>
      <c r="H117" s="4">
        <v>4.82178217821782</v>
      </c>
      <c r="I117" s="4">
        <v>1.82973243729219</v>
      </c>
      <c r="J117" s="4">
        <v>101.0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255</v>
      </c>
      <c r="B118" s="4" t="s">
        <v>256</v>
      </c>
      <c r="C118" s="4" t="s">
        <v>15</v>
      </c>
      <c r="D118" s="4" t="s">
        <v>12</v>
      </c>
      <c r="E118" s="4">
        <v>2.67647058823529</v>
      </c>
      <c r="F118" s="4">
        <v>1.25202224307166</v>
      </c>
      <c r="G118" s="4">
        <v>102.0</v>
      </c>
      <c r="H118" s="4">
        <v>4.4950495049505</v>
      </c>
      <c r="I118" s="4">
        <v>1.60389377688323</v>
      </c>
      <c r="J118" s="4">
        <v>101.0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257</v>
      </c>
      <c r="B119" s="4" t="s">
        <v>258</v>
      </c>
      <c r="C119" s="4" t="s">
        <v>11</v>
      </c>
      <c r="D119" s="4" t="s">
        <v>12</v>
      </c>
      <c r="E119" s="4">
        <v>5.75925925925926</v>
      </c>
      <c r="F119" s="4">
        <v>1.05786215707502</v>
      </c>
      <c r="G119" s="4">
        <v>108.0</v>
      </c>
      <c r="H119" s="4">
        <v>4.16346153846154</v>
      </c>
      <c r="I119" s="4">
        <v>1.58947128611376</v>
      </c>
      <c r="J119" s="4">
        <v>104.0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259</v>
      </c>
      <c r="B120" s="4" t="s">
        <v>260</v>
      </c>
      <c r="C120" s="4" t="s">
        <v>11</v>
      </c>
      <c r="D120" s="4" t="s">
        <v>12</v>
      </c>
      <c r="E120" s="4">
        <v>5.75925925925926</v>
      </c>
      <c r="F120" s="4">
        <v>0.965482498816494</v>
      </c>
      <c r="G120" s="4">
        <v>108.0</v>
      </c>
      <c r="H120" s="4">
        <v>3.47115384615385</v>
      </c>
      <c r="I120" s="4">
        <v>1.71207437213259</v>
      </c>
      <c r="J120" s="4">
        <v>104.0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261</v>
      </c>
      <c r="B121" s="4" t="s">
        <v>262</v>
      </c>
      <c r="C121" s="4" t="s">
        <v>39</v>
      </c>
      <c r="D121" s="4" t="s">
        <v>12</v>
      </c>
      <c r="E121" s="4">
        <v>2.69607843137255</v>
      </c>
      <c r="F121" s="4">
        <v>1.36279572636819</v>
      </c>
      <c r="G121" s="4">
        <v>102.0</v>
      </c>
      <c r="H121" s="4">
        <v>5.13861386138614</v>
      </c>
      <c r="I121" s="4">
        <v>1.65547396820546</v>
      </c>
      <c r="J121" s="4">
        <v>101.0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263</v>
      </c>
      <c r="B122" s="4" t="s">
        <v>264</v>
      </c>
      <c r="C122" s="4" t="s">
        <v>11</v>
      </c>
      <c r="D122" s="4" t="s">
        <v>265</v>
      </c>
      <c r="E122" s="4">
        <v>5.75490196078431</v>
      </c>
      <c r="F122" s="4">
        <v>1.10297773834436</v>
      </c>
      <c r="G122" s="4">
        <v>102.0</v>
      </c>
      <c r="H122" s="4">
        <v>4.11881188118812</v>
      </c>
      <c r="I122" s="4">
        <v>1.75092620468637</v>
      </c>
      <c r="J122" s="4">
        <v>101.0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4" t="s">
        <v>266</v>
      </c>
      <c r="B123" s="15" t="s">
        <v>267</v>
      </c>
      <c r="C123" s="15" t="s">
        <v>25</v>
      </c>
      <c r="D123" s="15" t="s">
        <v>46</v>
      </c>
      <c r="E123" s="15">
        <v>2.72222222222222</v>
      </c>
      <c r="F123" s="15">
        <v>1.2367679716003</v>
      </c>
      <c r="G123" s="15">
        <v>108.0</v>
      </c>
      <c r="H123" s="15">
        <v>3.76923076923077</v>
      </c>
      <c r="I123" s="15">
        <v>2.0537948263999</v>
      </c>
      <c r="J123" s="15">
        <v>104.0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" t="s">
        <v>268</v>
      </c>
      <c r="B124" s="4" t="s">
        <v>269</v>
      </c>
      <c r="C124" s="4" t="s">
        <v>15</v>
      </c>
      <c r="D124" s="4" t="s">
        <v>12</v>
      </c>
      <c r="E124" s="4">
        <v>2.73267326732673</v>
      </c>
      <c r="F124" s="4">
        <v>1.47574448404126</v>
      </c>
      <c r="G124" s="4">
        <v>101.0</v>
      </c>
      <c r="H124" s="4">
        <v>4.01941747572816</v>
      </c>
      <c r="I124" s="4">
        <v>1.88378312791705</v>
      </c>
      <c r="J124" s="4">
        <v>103.0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270</v>
      </c>
      <c r="B125" s="4" t="s">
        <v>271</v>
      </c>
      <c r="C125" s="4" t="s">
        <v>39</v>
      </c>
      <c r="D125" s="4" t="s">
        <v>12</v>
      </c>
      <c r="E125" s="4">
        <v>2.73529411764706</v>
      </c>
      <c r="F125" s="4">
        <v>1.17672536554017</v>
      </c>
      <c r="G125" s="4">
        <v>102.0</v>
      </c>
      <c r="H125" s="4">
        <v>2.47524752475248</v>
      </c>
      <c r="I125" s="4">
        <v>1.60370857331337</v>
      </c>
      <c r="J125" s="4">
        <v>101.0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272</v>
      </c>
      <c r="B126" s="4" t="s">
        <v>273</v>
      </c>
      <c r="C126" s="4" t="s">
        <v>11</v>
      </c>
      <c r="D126" s="4" t="s">
        <v>12</v>
      </c>
      <c r="E126" s="4">
        <v>5.73529411764706</v>
      </c>
      <c r="F126" s="4">
        <v>1.25016015281556</v>
      </c>
      <c r="G126" s="4">
        <v>102.0</v>
      </c>
      <c r="H126" s="4">
        <v>4.1980198019802</v>
      </c>
      <c r="I126" s="4">
        <v>1.6310720522417</v>
      </c>
      <c r="J126" s="4">
        <v>101.0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274</v>
      </c>
      <c r="B127" s="4" t="s">
        <v>275</v>
      </c>
      <c r="C127" s="4" t="s">
        <v>11</v>
      </c>
      <c r="D127" s="4" t="s">
        <v>12</v>
      </c>
      <c r="E127" s="4">
        <v>5.73148148148148</v>
      </c>
      <c r="F127" s="4">
        <v>1.02862290195203</v>
      </c>
      <c r="G127" s="4">
        <v>108.0</v>
      </c>
      <c r="H127" s="4">
        <v>3.48076923076923</v>
      </c>
      <c r="I127" s="4">
        <v>1.61894589480507</v>
      </c>
      <c r="J127" s="4">
        <v>104.0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276</v>
      </c>
      <c r="B128" s="4" t="s">
        <v>277</v>
      </c>
      <c r="C128" s="4" t="s">
        <v>25</v>
      </c>
      <c r="D128" s="4" t="s">
        <v>46</v>
      </c>
      <c r="E128" s="4">
        <v>2.75</v>
      </c>
      <c r="F128" s="4">
        <v>1.36117733536735</v>
      </c>
      <c r="G128" s="4">
        <v>108.0</v>
      </c>
      <c r="H128" s="4">
        <v>4.42307692307692</v>
      </c>
      <c r="I128" s="4">
        <v>2.02744426469696</v>
      </c>
      <c r="J128" s="4">
        <v>104.0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278</v>
      </c>
      <c r="B129" s="4" t="s">
        <v>279</v>
      </c>
      <c r="C129" s="4" t="s">
        <v>15</v>
      </c>
      <c r="D129" s="4" t="s">
        <v>12</v>
      </c>
      <c r="E129" s="4">
        <v>2.76470588235294</v>
      </c>
      <c r="F129" s="4">
        <v>1.18719630270363</v>
      </c>
      <c r="G129" s="4">
        <v>102.0</v>
      </c>
      <c r="H129" s="4">
        <v>4.21782178217822</v>
      </c>
      <c r="I129" s="4">
        <v>1.81991186817406</v>
      </c>
      <c r="J129" s="4">
        <v>101.0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280</v>
      </c>
      <c r="B130" s="4" t="s">
        <v>281</v>
      </c>
      <c r="C130" s="4" t="s">
        <v>39</v>
      </c>
      <c r="D130" s="4" t="s">
        <v>12</v>
      </c>
      <c r="E130" s="4">
        <v>2.79411764705882</v>
      </c>
      <c r="F130" s="4">
        <v>1.18854462375453</v>
      </c>
      <c r="G130" s="4">
        <v>102.0</v>
      </c>
      <c r="H130" s="4">
        <v>4.33663366336634</v>
      </c>
      <c r="I130" s="4">
        <v>1.90933091800647</v>
      </c>
      <c r="J130" s="4">
        <v>101.0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282</v>
      </c>
      <c r="B131" s="4" t="s">
        <v>283</v>
      </c>
      <c r="C131" s="4" t="s">
        <v>11</v>
      </c>
      <c r="D131" s="4" t="s">
        <v>12</v>
      </c>
      <c r="E131" s="4">
        <v>5.72549019607843</v>
      </c>
      <c r="F131" s="4">
        <v>1.00648257961638</v>
      </c>
      <c r="G131" s="4">
        <v>102.0</v>
      </c>
      <c r="H131" s="4">
        <v>3.99009900990099</v>
      </c>
      <c r="I131" s="4">
        <v>1.84116837635753</v>
      </c>
      <c r="J131" s="4">
        <v>101.0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4" t="s">
        <v>284</v>
      </c>
      <c r="B132" s="15" t="s">
        <v>285</v>
      </c>
      <c r="C132" s="15" t="s">
        <v>25</v>
      </c>
      <c r="D132" s="15" t="s">
        <v>12</v>
      </c>
      <c r="E132" s="15">
        <v>2.80392156862745</v>
      </c>
      <c r="F132" s="15">
        <v>1.19436975953868</v>
      </c>
      <c r="G132" s="15">
        <v>102.0</v>
      </c>
      <c r="H132" s="15">
        <v>4.48514851485149</v>
      </c>
      <c r="I132" s="15">
        <v>1.90585341191886</v>
      </c>
      <c r="J132" s="15">
        <v>101.0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" t="s">
        <v>286</v>
      </c>
      <c r="B133" s="4" t="s">
        <v>287</v>
      </c>
      <c r="C133" s="4" t="s">
        <v>11</v>
      </c>
      <c r="D133" s="4" t="s">
        <v>288</v>
      </c>
      <c r="E133" s="4">
        <v>5.72277227722772</v>
      </c>
      <c r="F133" s="4">
        <v>1.04994106388109</v>
      </c>
      <c r="G133" s="4">
        <v>101.0</v>
      </c>
      <c r="H133" s="4">
        <v>3.52427184466019</v>
      </c>
      <c r="I133" s="4">
        <v>1.70836844647324</v>
      </c>
      <c r="J133" s="4">
        <v>103.0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289</v>
      </c>
      <c r="B134" s="4" t="s">
        <v>290</v>
      </c>
      <c r="C134" s="4" t="s">
        <v>11</v>
      </c>
      <c r="D134" s="4" t="s">
        <v>12</v>
      </c>
      <c r="E134" s="4">
        <v>5.71296296296296</v>
      </c>
      <c r="F134" s="4">
        <v>1.08559752206969</v>
      </c>
      <c r="G134" s="4">
        <v>108.0</v>
      </c>
      <c r="H134" s="4">
        <v>4.56730769230769</v>
      </c>
      <c r="I134" s="4">
        <v>1.77230267132203</v>
      </c>
      <c r="J134" s="4">
        <v>104.0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291</v>
      </c>
      <c r="B135" s="4" t="s">
        <v>292</v>
      </c>
      <c r="C135" s="4" t="s">
        <v>39</v>
      </c>
      <c r="D135" s="4" t="s">
        <v>12</v>
      </c>
      <c r="E135" s="4">
        <v>2.81372549019608</v>
      </c>
      <c r="F135" s="4">
        <v>1.19180694958806</v>
      </c>
      <c r="G135" s="4">
        <v>102.0</v>
      </c>
      <c r="H135" s="4">
        <v>3.87128712871287</v>
      </c>
      <c r="I135" s="4">
        <v>1.68323121606411</v>
      </c>
      <c r="J135" s="4">
        <v>101.0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293</v>
      </c>
      <c r="B136" s="4" t="s">
        <v>294</v>
      </c>
      <c r="C136" s="4" t="s">
        <v>11</v>
      </c>
      <c r="D136" s="4" t="s">
        <v>46</v>
      </c>
      <c r="E136" s="4">
        <v>5.70588235294118</v>
      </c>
      <c r="F136" s="4">
        <v>1.03968993182533</v>
      </c>
      <c r="G136" s="4">
        <v>102.0</v>
      </c>
      <c r="H136" s="4">
        <v>4.16831683168317</v>
      </c>
      <c r="I136" s="4">
        <v>1.7092062890751</v>
      </c>
      <c r="J136" s="4">
        <v>101.0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295</v>
      </c>
      <c r="B137" s="4" t="s">
        <v>296</v>
      </c>
      <c r="C137" s="4" t="s">
        <v>11</v>
      </c>
      <c r="D137" s="4" t="s">
        <v>12</v>
      </c>
      <c r="E137" s="4">
        <v>5.69607843137255</v>
      </c>
      <c r="F137" s="4">
        <v>1.06044279642076</v>
      </c>
      <c r="G137" s="4">
        <v>102.0</v>
      </c>
      <c r="H137" s="4">
        <v>3.54455445544554</v>
      </c>
      <c r="I137" s="4">
        <v>1.50016500742583</v>
      </c>
      <c r="J137" s="4">
        <v>101.0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297</v>
      </c>
      <c r="B138" s="4" t="s">
        <v>298</v>
      </c>
      <c r="C138" s="4" t="s">
        <v>15</v>
      </c>
      <c r="D138" s="4" t="s">
        <v>12</v>
      </c>
      <c r="E138" s="4">
        <v>2.83333333333333</v>
      </c>
      <c r="F138" s="4">
        <v>1.47643760003553</v>
      </c>
      <c r="G138" s="4">
        <v>102.0</v>
      </c>
      <c r="H138" s="4">
        <v>1.92079207920792</v>
      </c>
      <c r="I138" s="4">
        <v>1.27814841326688</v>
      </c>
      <c r="J138" s="4">
        <v>101.0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299</v>
      </c>
      <c r="B139" s="4" t="s">
        <v>300</v>
      </c>
      <c r="C139" s="4" t="s">
        <v>15</v>
      </c>
      <c r="D139" s="4" t="s">
        <v>12</v>
      </c>
      <c r="E139" s="4">
        <v>2.84158415841584</v>
      </c>
      <c r="F139" s="4">
        <v>1.51481136295795</v>
      </c>
      <c r="G139" s="4">
        <v>101.0</v>
      </c>
      <c r="H139" s="4">
        <v>3.96116504854369</v>
      </c>
      <c r="I139" s="4">
        <v>1.93989250812517</v>
      </c>
      <c r="J139" s="4">
        <v>103.0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301</v>
      </c>
      <c r="B140" s="4" t="s">
        <v>302</v>
      </c>
      <c r="C140" s="4" t="s">
        <v>15</v>
      </c>
      <c r="D140" s="4" t="s">
        <v>46</v>
      </c>
      <c r="E140" s="4">
        <v>2.84259259259259</v>
      </c>
      <c r="F140" s="4">
        <v>1.38187220311395</v>
      </c>
      <c r="G140" s="4">
        <v>108.0</v>
      </c>
      <c r="H140" s="4">
        <v>3.79807692307692</v>
      </c>
      <c r="I140" s="4">
        <v>1.77567057040655</v>
      </c>
      <c r="J140" s="4">
        <v>104.0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303</v>
      </c>
      <c r="B141" s="4" t="s">
        <v>304</v>
      </c>
      <c r="C141" s="4" t="s">
        <v>11</v>
      </c>
      <c r="D141" s="4" t="s">
        <v>46</v>
      </c>
      <c r="E141" s="4">
        <v>5.69306930693069</v>
      </c>
      <c r="F141" s="4">
        <v>1.06529408387943</v>
      </c>
      <c r="G141" s="4">
        <v>101.0</v>
      </c>
      <c r="H141" s="4">
        <v>4.21359223300971</v>
      </c>
      <c r="I141" s="4">
        <v>1.71870040641117</v>
      </c>
      <c r="J141" s="4">
        <v>103.0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305</v>
      </c>
      <c r="B142" s="4" t="s">
        <v>306</v>
      </c>
      <c r="C142" s="4" t="s">
        <v>25</v>
      </c>
      <c r="D142" s="4" t="s">
        <v>46</v>
      </c>
      <c r="E142" s="4">
        <v>2.85185185185185</v>
      </c>
      <c r="F142" s="4">
        <v>1.44568203232753</v>
      </c>
      <c r="G142" s="4">
        <v>108.0</v>
      </c>
      <c r="H142" s="4">
        <v>4.58653846153846</v>
      </c>
      <c r="I142" s="4">
        <v>1.82544356584874</v>
      </c>
      <c r="J142" s="4">
        <v>104.0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307</v>
      </c>
      <c r="B143" s="4" t="s">
        <v>308</v>
      </c>
      <c r="C143" s="4" t="s">
        <v>11</v>
      </c>
      <c r="D143" s="4" t="s">
        <v>46</v>
      </c>
      <c r="E143" s="4">
        <v>5.68518518518519</v>
      </c>
      <c r="F143" s="4">
        <v>1.35099927120873</v>
      </c>
      <c r="G143" s="4">
        <v>108.0</v>
      </c>
      <c r="H143" s="4">
        <v>5.34615384615385</v>
      </c>
      <c r="I143" s="4">
        <v>1.29051228459248</v>
      </c>
      <c r="J143" s="4">
        <v>104.0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309</v>
      </c>
      <c r="B144" s="4" t="s">
        <v>310</v>
      </c>
      <c r="C144" s="4" t="s">
        <v>25</v>
      </c>
      <c r="D144" s="4" t="s">
        <v>12</v>
      </c>
      <c r="E144" s="4">
        <v>2.86111111111111</v>
      </c>
      <c r="F144" s="4">
        <v>1.09764687419777</v>
      </c>
      <c r="G144" s="4">
        <v>108.0</v>
      </c>
      <c r="H144" s="4">
        <v>3.68269230769231</v>
      </c>
      <c r="I144" s="4">
        <v>1.79678473934746</v>
      </c>
      <c r="J144" s="4">
        <v>104.0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311</v>
      </c>
      <c r="B145" s="4" t="s">
        <v>312</v>
      </c>
      <c r="C145" s="4" t="s">
        <v>15</v>
      </c>
      <c r="D145" s="4" t="s">
        <v>12</v>
      </c>
      <c r="E145" s="4">
        <v>2.86274509803922</v>
      </c>
      <c r="F145" s="4">
        <v>1.4558806370823</v>
      </c>
      <c r="G145" s="4">
        <v>102.0</v>
      </c>
      <c r="H145" s="4">
        <v>3.89108910891089</v>
      </c>
      <c r="I145" s="4">
        <v>1.75442862550182</v>
      </c>
      <c r="J145" s="4">
        <v>101.0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313</v>
      </c>
      <c r="B146" s="4" t="s">
        <v>314</v>
      </c>
      <c r="C146" s="4" t="s">
        <v>11</v>
      </c>
      <c r="D146" s="4" t="s">
        <v>46</v>
      </c>
      <c r="E146" s="4">
        <v>5.68316831683168</v>
      </c>
      <c r="F146" s="4">
        <v>0.968820861349578</v>
      </c>
      <c r="G146" s="4">
        <v>101.0</v>
      </c>
      <c r="H146" s="4">
        <v>3.47572815533981</v>
      </c>
      <c r="I146" s="4">
        <v>1.61393843089175</v>
      </c>
      <c r="J146" s="4">
        <v>103.0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315</v>
      </c>
      <c r="B147" s="4" t="s">
        <v>316</v>
      </c>
      <c r="C147" s="4" t="s">
        <v>15</v>
      </c>
      <c r="D147" s="4" t="s">
        <v>12</v>
      </c>
      <c r="E147" s="4">
        <v>2.88118811881188</v>
      </c>
      <c r="F147" s="4">
        <v>1.56388700814906</v>
      </c>
      <c r="G147" s="4">
        <v>101.0</v>
      </c>
      <c r="H147" s="4">
        <v>4.01941747572816</v>
      </c>
      <c r="I147" s="4">
        <v>1.89416328739089</v>
      </c>
      <c r="J147" s="4">
        <v>103.0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317</v>
      </c>
      <c r="B148" s="4" t="s">
        <v>318</v>
      </c>
      <c r="C148" s="4" t="s">
        <v>15</v>
      </c>
      <c r="D148" s="4" t="s">
        <v>12</v>
      </c>
      <c r="E148" s="4">
        <v>2.88235294117647</v>
      </c>
      <c r="F148" s="4">
        <v>1.43709082956402</v>
      </c>
      <c r="G148" s="4">
        <v>102.0</v>
      </c>
      <c r="H148" s="4">
        <v>4.34653465346535</v>
      </c>
      <c r="I148" s="4">
        <v>1.73456417329747</v>
      </c>
      <c r="J148" s="4">
        <v>101.0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319</v>
      </c>
      <c r="B149" s="4" t="s">
        <v>320</v>
      </c>
      <c r="C149" s="4" t="s">
        <v>11</v>
      </c>
      <c r="D149" s="4" t="s">
        <v>12</v>
      </c>
      <c r="E149" s="4">
        <v>5.67326732673267</v>
      </c>
      <c r="F149" s="4">
        <v>1.15852415504459</v>
      </c>
      <c r="G149" s="4">
        <v>101.0</v>
      </c>
      <c r="H149" s="4">
        <v>4.09708737864078</v>
      </c>
      <c r="I149" s="4">
        <v>1.59358126162055</v>
      </c>
      <c r="J149" s="4">
        <v>103.0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321</v>
      </c>
      <c r="B150" s="4" t="s">
        <v>322</v>
      </c>
      <c r="C150" s="4" t="s">
        <v>15</v>
      </c>
      <c r="D150" s="4" t="s">
        <v>12</v>
      </c>
      <c r="E150" s="4">
        <v>2.88235294117647</v>
      </c>
      <c r="F150" s="4">
        <v>1.10170091399715</v>
      </c>
      <c r="G150" s="4">
        <v>102.0</v>
      </c>
      <c r="H150" s="4">
        <v>3.15841584158416</v>
      </c>
      <c r="I150" s="4">
        <v>1.55391552709487</v>
      </c>
      <c r="J150" s="4">
        <v>101.0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323</v>
      </c>
      <c r="B151" s="4" t="s">
        <v>324</v>
      </c>
      <c r="C151" s="4" t="s">
        <v>25</v>
      </c>
      <c r="D151" s="4" t="s">
        <v>46</v>
      </c>
      <c r="E151" s="4">
        <v>2.9009900990099</v>
      </c>
      <c r="F151" s="4">
        <v>1.34539920094409</v>
      </c>
      <c r="G151" s="4">
        <v>101.0</v>
      </c>
      <c r="H151" s="4">
        <v>4.39805825242718</v>
      </c>
      <c r="I151" s="4">
        <v>1.85419400504319</v>
      </c>
      <c r="J151" s="4">
        <v>103.0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4" t="s">
        <v>325</v>
      </c>
      <c r="B152" s="15" t="s">
        <v>326</v>
      </c>
      <c r="C152" s="15" t="s">
        <v>25</v>
      </c>
      <c r="D152" s="15" t="s">
        <v>12</v>
      </c>
      <c r="E152" s="15">
        <v>2.90196078431373</v>
      </c>
      <c r="F152" s="15">
        <v>1.4177782362414</v>
      </c>
      <c r="G152" s="15">
        <v>102.0</v>
      </c>
      <c r="H152" s="15">
        <v>4.7029702970297</v>
      </c>
      <c r="I152" s="15">
        <v>1.93672173765591</v>
      </c>
      <c r="J152" s="15">
        <v>101.0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2" t="s">
        <v>327</v>
      </c>
      <c r="B153" s="4" t="s">
        <v>328</v>
      </c>
      <c r="C153" s="4" t="s">
        <v>25</v>
      </c>
      <c r="D153" s="4" t="s">
        <v>46</v>
      </c>
      <c r="E153" s="4">
        <v>2.91176470588235</v>
      </c>
      <c r="F153" s="4">
        <v>1.3795030040373</v>
      </c>
      <c r="G153" s="4">
        <v>102.0</v>
      </c>
      <c r="H153" s="4">
        <v>4.57425742574257</v>
      </c>
      <c r="I153" s="4">
        <v>1.96135939926096</v>
      </c>
      <c r="J153" s="4">
        <v>101.0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329</v>
      </c>
      <c r="B154" s="4" t="s">
        <v>330</v>
      </c>
      <c r="C154" s="4" t="s">
        <v>11</v>
      </c>
      <c r="D154" s="4" t="s">
        <v>12</v>
      </c>
      <c r="E154" s="4">
        <v>5.65686274509804</v>
      </c>
      <c r="F154" s="4">
        <v>1.13010205479058</v>
      </c>
      <c r="G154" s="4">
        <v>102.0</v>
      </c>
      <c r="H154" s="4">
        <v>3.22772277227723</v>
      </c>
      <c r="I154" s="4">
        <v>1.63022199788134</v>
      </c>
      <c r="J154" s="4">
        <v>101.0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331</v>
      </c>
      <c r="B155" s="4" t="s">
        <v>332</v>
      </c>
      <c r="C155" s="4" t="s">
        <v>39</v>
      </c>
      <c r="D155" s="4" t="s">
        <v>12</v>
      </c>
      <c r="E155" s="4">
        <v>2.92156862745098</v>
      </c>
      <c r="F155" s="4">
        <v>1.18310109801104</v>
      </c>
      <c r="G155" s="4">
        <v>102.0</v>
      </c>
      <c r="H155" s="4">
        <v>4.23762376237624</v>
      </c>
      <c r="I155" s="4">
        <v>1.89287355547847</v>
      </c>
      <c r="J155" s="4">
        <v>101.0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1" t="s">
        <v>333</v>
      </c>
      <c r="B156" s="12" t="s">
        <v>334</v>
      </c>
      <c r="C156" s="12" t="s">
        <v>15</v>
      </c>
      <c r="D156" s="12" t="s">
        <v>12</v>
      </c>
      <c r="E156" s="12">
        <v>2.92156862745098</v>
      </c>
      <c r="F156" s="12">
        <v>1.53948862867444</v>
      </c>
      <c r="G156" s="12">
        <v>102.0</v>
      </c>
      <c r="H156" s="12">
        <v>4.11881188118812</v>
      </c>
      <c r="I156" s="12">
        <v>1.80713656768309</v>
      </c>
      <c r="J156" s="12">
        <v>101.0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2" t="s">
        <v>335</v>
      </c>
      <c r="B157" s="4" t="s">
        <v>336</v>
      </c>
      <c r="C157" s="4" t="s">
        <v>39</v>
      </c>
      <c r="D157" s="4" t="s">
        <v>12</v>
      </c>
      <c r="E157" s="4">
        <v>2.94444444444444</v>
      </c>
      <c r="F157" s="4">
        <v>1.37285658482312</v>
      </c>
      <c r="G157" s="4">
        <v>108.0</v>
      </c>
      <c r="H157" s="4">
        <v>3.63461538461538</v>
      </c>
      <c r="I157" s="4">
        <v>1.88534301845493</v>
      </c>
      <c r="J157" s="4">
        <v>104.0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337</v>
      </c>
      <c r="B158" s="4" t="s">
        <v>338</v>
      </c>
      <c r="C158" s="4" t="s">
        <v>11</v>
      </c>
      <c r="D158" s="4" t="s">
        <v>12</v>
      </c>
      <c r="E158" s="4">
        <v>5.65346534653465</v>
      </c>
      <c r="F158" s="4">
        <v>1.06240899435534</v>
      </c>
      <c r="G158" s="4">
        <v>101.0</v>
      </c>
      <c r="H158" s="4">
        <v>3.70873786407767</v>
      </c>
      <c r="I158" s="4">
        <v>1.75248321275932</v>
      </c>
      <c r="J158" s="4">
        <v>103.0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339</v>
      </c>
      <c r="B159" s="4" t="s">
        <v>340</v>
      </c>
      <c r="C159" s="4" t="s">
        <v>39</v>
      </c>
      <c r="D159" s="4" t="s">
        <v>12</v>
      </c>
      <c r="E159" s="4">
        <v>2.96039603960396</v>
      </c>
      <c r="F159" s="4">
        <v>1.35588194234755</v>
      </c>
      <c r="G159" s="4">
        <v>101.0</v>
      </c>
      <c r="H159" s="4">
        <v>3.87378640776699</v>
      </c>
      <c r="I159" s="4">
        <v>1.90808194243044</v>
      </c>
      <c r="J159" s="4">
        <v>103.0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341</v>
      </c>
      <c r="B160" s="4" t="s">
        <v>342</v>
      </c>
      <c r="C160" s="4" t="s">
        <v>11</v>
      </c>
      <c r="D160" s="4" t="s">
        <v>12</v>
      </c>
      <c r="E160" s="4">
        <v>5.64814814814815</v>
      </c>
      <c r="F160" s="4">
        <v>0.998267797071225</v>
      </c>
      <c r="G160" s="4">
        <v>108.0</v>
      </c>
      <c r="H160" s="4">
        <v>3.48076923076923</v>
      </c>
      <c r="I160" s="4">
        <v>1.55782253579304</v>
      </c>
      <c r="J160" s="4">
        <v>104.0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343</v>
      </c>
      <c r="B161" s="4" t="s">
        <v>344</v>
      </c>
      <c r="C161" s="4" t="s">
        <v>11</v>
      </c>
      <c r="D161" s="4" t="s">
        <v>12</v>
      </c>
      <c r="E161" s="4">
        <v>5.64705882352941</v>
      </c>
      <c r="F161" s="4">
        <v>1.0958703654592</v>
      </c>
      <c r="G161" s="4">
        <v>102.0</v>
      </c>
      <c r="H161" s="4">
        <v>3.19</v>
      </c>
      <c r="I161" s="4">
        <v>1.57438459999038</v>
      </c>
      <c r="J161" s="4">
        <v>100.0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345</v>
      </c>
      <c r="B162" s="4" t="s">
        <v>346</v>
      </c>
      <c r="C162" s="4" t="s">
        <v>11</v>
      </c>
      <c r="D162" s="4" t="s">
        <v>12</v>
      </c>
      <c r="E162" s="4">
        <v>5.63888888888889</v>
      </c>
      <c r="F162" s="4">
        <v>1.1717734249852</v>
      </c>
      <c r="G162" s="4">
        <v>108.0</v>
      </c>
      <c r="H162" s="4">
        <v>4.125</v>
      </c>
      <c r="I162" s="4">
        <v>1.69343392153398</v>
      </c>
      <c r="J162" s="4">
        <v>104.0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347</v>
      </c>
      <c r="B163" s="4" t="s">
        <v>348</v>
      </c>
      <c r="C163" s="4" t="s">
        <v>15</v>
      </c>
      <c r="D163" s="4" t="s">
        <v>12</v>
      </c>
      <c r="E163" s="4">
        <v>2.97058823529412</v>
      </c>
      <c r="F163" s="4">
        <v>1.55082783612043</v>
      </c>
      <c r="G163" s="4">
        <v>102.0</v>
      </c>
      <c r="H163" s="4">
        <v>4.02970297029703</v>
      </c>
      <c r="I163" s="4">
        <v>1.68199551452764</v>
      </c>
      <c r="J163" s="4">
        <v>101.0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349</v>
      </c>
      <c r="B164" s="4" t="s">
        <v>350</v>
      </c>
      <c r="C164" s="4" t="s">
        <v>25</v>
      </c>
      <c r="D164" s="4" t="s">
        <v>46</v>
      </c>
      <c r="E164" s="4">
        <v>3.0</v>
      </c>
      <c r="F164" s="4">
        <v>1.32006600495041</v>
      </c>
      <c r="G164" s="4">
        <v>102.0</v>
      </c>
      <c r="H164" s="4">
        <v>4.17821782178218</v>
      </c>
      <c r="I164" s="4">
        <v>1.94111328677108</v>
      </c>
      <c r="J164" s="4">
        <v>101.0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351</v>
      </c>
      <c r="B165" s="4" t="s">
        <v>352</v>
      </c>
      <c r="C165" s="4" t="s">
        <v>15</v>
      </c>
      <c r="D165" s="4" t="s">
        <v>12</v>
      </c>
      <c r="E165" s="4">
        <v>3.02941176470588</v>
      </c>
      <c r="F165" s="4">
        <v>1.05732599722823</v>
      </c>
      <c r="G165" s="4">
        <v>102.0</v>
      </c>
      <c r="H165" s="4">
        <v>3.71287128712871</v>
      </c>
      <c r="I165" s="4">
        <v>1.77390323108881</v>
      </c>
      <c r="J165" s="4">
        <v>101.0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 t="s">
        <v>353</v>
      </c>
      <c r="B166" s="4" t="s">
        <v>354</v>
      </c>
      <c r="C166" s="4" t="s">
        <v>11</v>
      </c>
      <c r="D166" s="4" t="s">
        <v>12</v>
      </c>
      <c r="E166" s="4">
        <v>5.62745098039216</v>
      </c>
      <c r="F166" s="4">
        <v>1.08929597235787</v>
      </c>
      <c r="G166" s="4">
        <v>102.0</v>
      </c>
      <c r="H166" s="4">
        <v>3.77227722772277</v>
      </c>
      <c r="I166" s="4">
        <v>1.52892895923134</v>
      </c>
      <c r="J166" s="4">
        <v>101.0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 t="s">
        <v>355</v>
      </c>
      <c r="B167" s="4" t="s">
        <v>356</v>
      </c>
      <c r="C167" s="4" t="s">
        <v>11</v>
      </c>
      <c r="D167" s="4" t="s">
        <v>12</v>
      </c>
      <c r="E167" s="4">
        <v>5.6078431372549</v>
      </c>
      <c r="F167" s="4">
        <v>1.10046671237773</v>
      </c>
      <c r="G167" s="4">
        <v>102.0</v>
      </c>
      <c r="H167" s="4">
        <v>4.13861386138614</v>
      </c>
      <c r="I167" s="4">
        <v>1.51016358696862</v>
      </c>
      <c r="J167" s="4">
        <v>101.0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 t="s">
        <v>357</v>
      </c>
      <c r="B168" s="4" t="s">
        <v>358</v>
      </c>
      <c r="C168" s="4" t="s">
        <v>11</v>
      </c>
      <c r="D168" s="4" t="s">
        <v>46</v>
      </c>
      <c r="E168" s="4">
        <v>5.6078431372549</v>
      </c>
      <c r="F168" s="4">
        <v>0.945619004611862</v>
      </c>
      <c r="G168" s="4">
        <v>102.0</v>
      </c>
      <c r="H168" s="4">
        <v>3.93069306930693</v>
      </c>
      <c r="I168" s="4">
        <v>1.58276609606457</v>
      </c>
      <c r="J168" s="4">
        <v>101.0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 t="s">
        <v>359</v>
      </c>
      <c r="B169" s="4" t="s">
        <v>360</v>
      </c>
      <c r="C169" s="4" t="s">
        <v>11</v>
      </c>
      <c r="D169" s="4" t="s">
        <v>12</v>
      </c>
      <c r="E169" s="4">
        <v>5.6078431372549</v>
      </c>
      <c r="F169" s="4">
        <v>1.15318639700595</v>
      </c>
      <c r="G169" s="4">
        <v>102.0</v>
      </c>
      <c r="H169" s="4">
        <v>3.0990099009901</v>
      </c>
      <c r="I169" s="4">
        <v>1.48664017499225</v>
      </c>
      <c r="J169" s="4">
        <v>101.0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 t="s">
        <v>361</v>
      </c>
      <c r="B170" s="4" t="s">
        <v>362</v>
      </c>
      <c r="C170" s="4" t="s">
        <v>39</v>
      </c>
      <c r="D170" s="4" t="s">
        <v>12</v>
      </c>
      <c r="E170" s="4">
        <v>3.05555555555556</v>
      </c>
      <c r="F170" s="4">
        <v>1.45225144789488</v>
      </c>
      <c r="G170" s="4">
        <v>108.0</v>
      </c>
      <c r="H170" s="4">
        <v>3.52884615384615</v>
      </c>
      <c r="I170" s="4">
        <v>1.7788221846073</v>
      </c>
      <c r="J170" s="4">
        <v>104.0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 t="s">
        <v>363</v>
      </c>
      <c r="B171" s="4" t="s">
        <v>364</v>
      </c>
      <c r="C171" s="4" t="s">
        <v>11</v>
      </c>
      <c r="D171" s="4" t="s">
        <v>12</v>
      </c>
      <c r="E171" s="4">
        <v>5.6039603960396</v>
      </c>
      <c r="F171" s="4">
        <v>0.980603976341031</v>
      </c>
      <c r="G171" s="4">
        <v>101.0</v>
      </c>
      <c r="H171" s="4">
        <v>3.25242718446602</v>
      </c>
      <c r="I171" s="4">
        <v>1.6070826485448</v>
      </c>
      <c r="J171" s="4">
        <v>103.0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 t="s">
        <v>365</v>
      </c>
      <c r="B172" s="4" t="s">
        <v>366</v>
      </c>
      <c r="C172" s="4" t="s">
        <v>25</v>
      </c>
      <c r="D172" s="4" t="s">
        <v>12</v>
      </c>
      <c r="E172" s="4">
        <v>3.06862745098039</v>
      </c>
      <c r="F172" s="4">
        <v>1.47762053785552</v>
      </c>
      <c r="G172" s="4">
        <v>102.0</v>
      </c>
      <c r="H172" s="4">
        <v>4.01980198019802</v>
      </c>
      <c r="I172" s="4">
        <v>1.91300913756209</v>
      </c>
      <c r="J172" s="4">
        <v>101.0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 t="s">
        <v>367</v>
      </c>
      <c r="B173" s="4" t="s">
        <v>368</v>
      </c>
      <c r="C173" s="4" t="s">
        <v>39</v>
      </c>
      <c r="D173" s="4" t="s">
        <v>12</v>
      </c>
      <c r="E173" s="4">
        <v>3.06862745098039</v>
      </c>
      <c r="F173" s="4">
        <v>1.35163856497515</v>
      </c>
      <c r="G173" s="4">
        <v>102.0</v>
      </c>
      <c r="H173" s="4">
        <v>3.28712871287129</v>
      </c>
      <c r="I173" s="4">
        <v>1.72821661641917</v>
      </c>
      <c r="J173" s="4">
        <v>101.0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 t="s">
        <v>369</v>
      </c>
      <c r="B174" s="4" t="s">
        <v>370</v>
      </c>
      <c r="C174" s="4" t="s">
        <v>25</v>
      </c>
      <c r="D174" s="4" t="s">
        <v>46</v>
      </c>
      <c r="E174" s="4">
        <v>3.07843137254902</v>
      </c>
      <c r="F174" s="4">
        <v>1.43979010096875</v>
      </c>
      <c r="G174" s="4">
        <v>102.0</v>
      </c>
      <c r="H174" s="4">
        <v>4.25742574257426</v>
      </c>
      <c r="I174" s="4">
        <v>1.9165253212339</v>
      </c>
      <c r="J174" s="4">
        <v>101.0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 t="s">
        <v>371</v>
      </c>
      <c r="B175" s="4" t="s">
        <v>372</v>
      </c>
      <c r="C175" s="4" t="s">
        <v>11</v>
      </c>
      <c r="D175" s="4" t="s">
        <v>12</v>
      </c>
      <c r="E175" s="4">
        <v>5.58823529411765</v>
      </c>
      <c r="F175" s="4">
        <v>1.17188974219032</v>
      </c>
      <c r="G175" s="4">
        <v>102.0</v>
      </c>
      <c r="H175" s="4">
        <v>3.21782178217822</v>
      </c>
      <c r="I175" s="4">
        <v>1.55951249046643</v>
      </c>
      <c r="J175" s="4">
        <v>101.0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 t="s">
        <v>373</v>
      </c>
      <c r="B176" s="4" t="s">
        <v>374</v>
      </c>
      <c r="C176" s="4" t="s">
        <v>25</v>
      </c>
      <c r="D176" s="4" t="s">
        <v>12</v>
      </c>
      <c r="E176" s="4">
        <v>3.07920792079208</v>
      </c>
      <c r="F176" s="4">
        <v>1.11967109739273</v>
      </c>
      <c r="G176" s="4">
        <v>101.0</v>
      </c>
      <c r="H176" s="4">
        <v>4.61165048543689</v>
      </c>
      <c r="I176" s="4">
        <v>1.81622863783093</v>
      </c>
      <c r="J176" s="4">
        <v>103.0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 t="s">
        <v>375</v>
      </c>
      <c r="B177" s="4" t="s">
        <v>376</v>
      </c>
      <c r="C177" s="4" t="s">
        <v>15</v>
      </c>
      <c r="D177" s="4" t="s">
        <v>12</v>
      </c>
      <c r="E177" s="4">
        <v>3.07920792079208</v>
      </c>
      <c r="F177" s="4">
        <v>1.45384434047687</v>
      </c>
      <c r="G177" s="4">
        <v>101.0</v>
      </c>
      <c r="H177" s="4">
        <v>3.94174757281553</v>
      </c>
      <c r="I177" s="4">
        <v>1.70250819996555</v>
      </c>
      <c r="J177" s="4">
        <v>103.0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 t="s">
        <v>377</v>
      </c>
      <c r="B178" s="4" t="s">
        <v>378</v>
      </c>
      <c r="C178" s="4" t="s">
        <v>25</v>
      </c>
      <c r="D178" s="4" t="s">
        <v>379</v>
      </c>
      <c r="E178" s="4">
        <v>3.08823529411765</v>
      </c>
      <c r="F178" s="4">
        <v>1.34313760916662</v>
      </c>
      <c r="G178" s="4">
        <v>102.0</v>
      </c>
      <c r="H178" s="4">
        <v>4.67326732673267</v>
      </c>
      <c r="I178" s="4">
        <v>1.61931411956476</v>
      </c>
      <c r="J178" s="4">
        <v>101.0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 t="s">
        <v>380</v>
      </c>
      <c r="B179" s="4" t="s">
        <v>381</v>
      </c>
      <c r="C179" s="4" t="s">
        <v>11</v>
      </c>
      <c r="D179" s="4" t="s">
        <v>12</v>
      </c>
      <c r="E179" s="4">
        <v>5.58415841584158</v>
      </c>
      <c r="F179" s="4">
        <v>0.972289326617065</v>
      </c>
      <c r="G179" s="4">
        <v>101.0</v>
      </c>
      <c r="H179" s="4">
        <v>3.83495145631068</v>
      </c>
      <c r="I179" s="4">
        <v>1.5786385756475</v>
      </c>
      <c r="J179" s="4">
        <v>103.0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 t="s">
        <v>382</v>
      </c>
      <c r="B180" s="4" t="s">
        <v>383</v>
      </c>
      <c r="C180" s="4" t="s">
        <v>11</v>
      </c>
      <c r="D180" s="4" t="s">
        <v>46</v>
      </c>
      <c r="E180" s="4">
        <v>5.58333333333333</v>
      </c>
      <c r="F180" s="4">
        <v>1.01507331349795</v>
      </c>
      <c r="G180" s="4">
        <v>108.0</v>
      </c>
      <c r="H180" s="4">
        <v>4.04807692307692</v>
      </c>
      <c r="I180" s="4">
        <v>1.71447185500323</v>
      </c>
      <c r="J180" s="4">
        <v>104.0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 t="s">
        <v>384</v>
      </c>
      <c r="B181" s="4" t="s">
        <v>385</v>
      </c>
      <c r="C181" s="4" t="s">
        <v>11</v>
      </c>
      <c r="D181" s="4" t="s">
        <v>386</v>
      </c>
      <c r="E181" s="4">
        <v>5.57425742574257</v>
      </c>
      <c r="F181" s="4">
        <v>1.04255968321689</v>
      </c>
      <c r="G181" s="4">
        <v>101.0</v>
      </c>
      <c r="H181" s="4">
        <v>3.83495145631068</v>
      </c>
      <c r="I181" s="4">
        <v>1.69830992909641</v>
      </c>
      <c r="J181" s="4">
        <v>103.0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 t="s">
        <v>387</v>
      </c>
      <c r="B182" s="4" t="s">
        <v>388</v>
      </c>
      <c r="C182" s="4" t="s">
        <v>25</v>
      </c>
      <c r="D182" s="4" t="s">
        <v>46</v>
      </c>
      <c r="E182" s="4">
        <v>3.10891089108911</v>
      </c>
      <c r="F182" s="4">
        <v>1.42057023831284</v>
      </c>
      <c r="G182" s="4">
        <v>101.0</v>
      </c>
      <c r="H182" s="4">
        <v>4.23300970873786</v>
      </c>
      <c r="I182" s="4">
        <v>1.89013892784935</v>
      </c>
      <c r="J182" s="4">
        <v>103.0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 t="s">
        <v>389</v>
      </c>
      <c r="B183" s="4" t="s">
        <v>390</v>
      </c>
      <c r="C183" s="4" t="s">
        <v>11</v>
      </c>
      <c r="D183" s="4" t="s">
        <v>12</v>
      </c>
      <c r="E183" s="4">
        <v>5.56481481481481</v>
      </c>
      <c r="F183" s="4">
        <v>1.06141457497313</v>
      </c>
      <c r="G183" s="4">
        <v>108.0</v>
      </c>
      <c r="H183" s="4">
        <v>3.47115384615385</v>
      </c>
      <c r="I183" s="4">
        <v>1.61880173093024</v>
      </c>
      <c r="J183" s="4">
        <v>104.0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391</v>
      </c>
      <c r="B184" s="4" t="s">
        <v>392</v>
      </c>
      <c r="C184" s="4" t="s">
        <v>11</v>
      </c>
      <c r="D184" s="4" t="s">
        <v>12</v>
      </c>
      <c r="E184" s="4">
        <v>5.53921568627451</v>
      </c>
      <c r="F184" s="4">
        <v>1.24813975343627</v>
      </c>
      <c r="G184" s="4">
        <v>102.0</v>
      </c>
      <c r="H184" s="4">
        <v>3.96039603960396</v>
      </c>
      <c r="I184" s="4">
        <v>1.66084792849441</v>
      </c>
      <c r="J184" s="4">
        <v>101.0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 t="s">
        <v>393</v>
      </c>
      <c r="B185" s="4" t="s">
        <v>394</v>
      </c>
      <c r="C185" s="4" t="s">
        <v>11</v>
      </c>
      <c r="D185" s="4" t="s">
        <v>12</v>
      </c>
      <c r="E185" s="4">
        <v>5.53921568627451</v>
      </c>
      <c r="F185" s="4">
        <v>1.19960033466143</v>
      </c>
      <c r="G185" s="4">
        <v>102.0</v>
      </c>
      <c r="H185" s="4">
        <v>3.65346534653465</v>
      </c>
      <c r="I185" s="4">
        <v>1.46584885690412</v>
      </c>
      <c r="J185" s="4">
        <v>101.0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 t="s">
        <v>395</v>
      </c>
      <c r="B186" s="4" t="s">
        <v>396</v>
      </c>
      <c r="C186" s="4" t="s">
        <v>11</v>
      </c>
      <c r="D186" s="4" t="s">
        <v>12</v>
      </c>
      <c r="E186" s="4">
        <v>5.52777777777778</v>
      </c>
      <c r="F186" s="4">
        <v>0.971157256805242</v>
      </c>
      <c r="G186" s="4">
        <v>108.0</v>
      </c>
      <c r="H186" s="4">
        <v>3.25961538461538</v>
      </c>
      <c r="I186" s="4">
        <v>1.57032673804754</v>
      </c>
      <c r="J186" s="4">
        <v>104.0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 t="s">
        <v>397</v>
      </c>
      <c r="B187" s="4" t="s">
        <v>398</v>
      </c>
      <c r="C187" s="4" t="s">
        <v>39</v>
      </c>
      <c r="D187" s="4" t="s">
        <v>12</v>
      </c>
      <c r="E187" s="4">
        <v>3.16666666666667</v>
      </c>
      <c r="F187" s="4">
        <v>1.3568793223154</v>
      </c>
      <c r="G187" s="4">
        <v>108.0</v>
      </c>
      <c r="H187" s="4">
        <v>4.54807692307692</v>
      </c>
      <c r="I187" s="4">
        <v>1.77293463972698</v>
      </c>
      <c r="J187" s="4">
        <v>104.0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 t="s">
        <v>399</v>
      </c>
      <c r="B188" s="4" t="s">
        <v>400</v>
      </c>
      <c r="C188" s="4" t="s">
        <v>15</v>
      </c>
      <c r="D188" s="4" t="s">
        <v>12</v>
      </c>
      <c r="E188" s="4">
        <v>3.16666666666667</v>
      </c>
      <c r="F188" s="4">
        <v>1.51318195408491</v>
      </c>
      <c r="G188" s="4">
        <v>108.0</v>
      </c>
      <c r="H188" s="4">
        <v>2.53846153846154</v>
      </c>
      <c r="I188" s="4">
        <v>1.53864823363102</v>
      </c>
      <c r="J188" s="4">
        <v>104.0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 t="s">
        <v>401</v>
      </c>
      <c r="B189" s="4" t="s">
        <v>402</v>
      </c>
      <c r="C189" s="4" t="s">
        <v>11</v>
      </c>
      <c r="D189" s="4" t="s">
        <v>46</v>
      </c>
      <c r="E189" s="4">
        <v>5.5</v>
      </c>
      <c r="F189" s="4">
        <v>1.06007658979794</v>
      </c>
      <c r="G189" s="4">
        <v>102.0</v>
      </c>
      <c r="H189" s="4">
        <v>4.2970297029703</v>
      </c>
      <c r="I189" s="4">
        <v>1.45975720210894</v>
      </c>
      <c r="J189" s="4">
        <v>101.0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 t="s">
        <v>403</v>
      </c>
      <c r="B190" s="4" t="s">
        <v>404</v>
      </c>
      <c r="C190" s="4" t="s">
        <v>39</v>
      </c>
      <c r="D190" s="4" t="s">
        <v>12</v>
      </c>
      <c r="E190" s="4">
        <v>3.17647058823529</v>
      </c>
      <c r="F190" s="4">
        <v>1.53126987168117</v>
      </c>
      <c r="G190" s="4">
        <v>102.0</v>
      </c>
      <c r="H190" s="4">
        <v>4.31683168316832</v>
      </c>
      <c r="I190" s="4">
        <v>1.77161334985548</v>
      </c>
      <c r="J190" s="4">
        <v>101.0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 t="s">
        <v>405</v>
      </c>
      <c r="B191" s="4" t="s">
        <v>406</v>
      </c>
      <c r="C191" s="4" t="s">
        <v>11</v>
      </c>
      <c r="D191" s="4" t="s">
        <v>12</v>
      </c>
      <c r="E191" s="4">
        <v>5.49019607843137</v>
      </c>
      <c r="F191" s="4">
        <v>0.95175812343737</v>
      </c>
      <c r="G191" s="4">
        <v>102.0</v>
      </c>
      <c r="H191" s="4">
        <v>3.64356435643564</v>
      </c>
      <c r="I191" s="4">
        <v>1.47366318007774</v>
      </c>
      <c r="J191" s="4">
        <v>101.0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 t="s">
        <v>407</v>
      </c>
      <c r="B192" s="4" t="s">
        <v>408</v>
      </c>
      <c r="C192" s="4" t="s">
        <v>11</v>
      </c>
      <c r="D192" s="4" t="s">
        <v>46</v>
      </c>
      <c r="E192" s="4">
        <v>5.47222222222222</v>
      </c>
      <c r="F192" s="4">
        <v>0.911590305310013</v>
      </c>
      <c r="G192" s="4">
        <v>108.0</v>
      </c>
      <c r="H192" s="4">
        <v>4.22115384615385</v>
      </c>
      <c r="I192" s="4">
        <v>1.79512138632337</v>
      </c>
      <c r="J192" s="4">
        <v>104.0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 t="s">
        <v>409</v>
      </c>
      <c r="B193" s="4" t="s">
        <v>410</v>
      </c>
      <c r="C193" s="4" t="s">
        <v>15</v>
      </c>
      <c r="D193" s="4" t="s">
        <v>12</v>
      </c>
      <c r="E193" s="4">
        <v>3.17821782178218</v>
      </c>
      <c r="F193" s="4">
        <v>1.07141065520145</v>
      </c>
      <c r="G193" s="4">
        <v>101.0</v>
      </c>
      <c r="H193" s="4">
        <v>3.41176470588235</v>
      </c>
      <c r="I193" s="4">
        <v>1.72548137164401</v>
      </c>
      <c r="J193" s="4">
        <v>102.0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 t="s">
        <v>411</v>
      </c>
      <c r="B194" s="4" t="s">
        <v>412</v>
      </c>
      <c r="C194" s="4" t="s">
        <v>11</v>
      </c>
      <c r="D194" s="4" t="s">
        <v>12</v>
      </c>
      <c r="E194" s="4">
        <v>5.47222222222222</v>
      </c>
      <c r="F194" s="4">
        <v>0.990216943409663</v>
      </c>
      <c r="G194" s="4">
        <v>108.0</v>
      </c>
      <c r="H194" s="4">
        <v>3.02884615384615</v>
      </c>
      <c r="I194" s="4">
        <v>1.56078602782228</v>
      </c>
      <c r="J194" s="4">
        <v>104.0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 t="s">
        <v>413</v>
      </c>
      <c r="B195" s="4" t="s">
        <v>414</v>
      </c>
      <c r="C195" s="4" t="s">
        <v>39</v>
      </c>
      <c r="D195" s="4" t="s">
        <v>46</v>
      </c>
      <c r="E195" s="4">
        <v>3.2037037037037</v>
      </c>
      <c r="F195" s="4">
        <v>1.25123684049591</v>
      </c>
      <c r="G195" s="4">
        <v>108.0</v>
      </c>
      <c r="H195" s="4">
        <v>3.46153846153846</v>
      </c>
      <c r="I195" s="4">
        <v>1.68328779605022</v>
      </c>
      <c r="J195" s="4">
        <v>104.0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 t="s">
        <v>415</v>
      </c>
      <c r="B196" s="4" t="s">
        <v>416</v>
      </c>
      <c r="C196" s="4" t="s">
        <v>39</v>
      </c>
      <c r="D196" s="4" t="s">
        <v>46</v>
      </c>
      <c r="E196" s="4">
        <v>3.21296296296296</v>
      </c>
      <c r="F196" s="4">
        <v>1.2828919282426</v>
      </c>
      <c r="G196" s="4">
        <v>108.0</v>
      </c>
      <c r="H196" s="4">
        <v>3.625</v>
      </c>
      <c r="I196" s="4">
        <v>1.66160233813542</v>
      </c>
      <c r="J196" s="4">
        <v>104.0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 t="s">
        <v>417</v>
      </c>
      <c r="B197" s="4" t="s">
        <v>418</v>
      </c>
      <c r="C197" s="4" t="s">
        <v>25</v>
      </c>
      <c r="D197" s="4" t="s">
        <v>46</v>
      </c>
      <c r="E197" s="4">
        <v>3.23762376237624</v>
      </c>
      <c r="F197" s="4">
        <v>1.15020445879405</v>
      </c>
      <c r="G197" s="4">
        <v>101.0</v>
      </c>
      <c r="H197" s="4">
        <v>4.46601941747573</v>
      </c>
      <c r="I197" s="4">
        <v>1.61982529910459</v>
      </c>
      <c r="J197" s="4">
        <v>103.0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 t="s">
        <v>419</v>
      </c>
      <c r="B198" s="4" t="s">
        <v>420</v>
      </c>
      <c r="C198" s="4" t="s">
        <v>15</v>
      </c>
      <c r="D198" s="4" t="s">
        <v>12</v>
      </c>
      <c r="E198" s="4">
        <v>3.24509803921569</v>
      </c>
      <c r="F198" s="4">
        <v>1.21407810039449</v>
      </c>
      <c r="G198" s="4">
        <v>102.0</v>
      </c>
      <c r="H198" s="4">
        <v>3.62376237623762</v>
      </c>
      <c r="I198" s="4">
        <v>1.70793141049935</v>
      </c>
      <c r="J198" s="4">
        <v>101.0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 t="s">
        <v>421</v>
      </c>
      <c r="B199" s="4" t="s">
        <v>422</v>
      </c>
      <c r="C199" s="4" t="s">
        <v>39</v>
      </c>
      <c r="D199" s="4" t="s">
        <v>12</v>
      </c>
      <c r="E199" s="4">
        <v>3.25</v>
      </c>
      <c r="F199" s="4">
        <v>1.46692506927876</v>
      </c>
      <c r="G199" s="4">
        <v>108.0</v>
      </c>
      <c r="H199" s="4">
        <v>4.27884615384615</v>
      </c>
      <c r="I199" s="4">
        <v>1.82462514181418</v>
      </c>
      <c r="J199" s="4">
        <v>104.0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 t="s">
        <v>423</v>
      </c>
      <c r="B200" s="4" t="s">
        <v>424</v>
      </c>
      <c r="C200" s="4" t="s">
        <v>25</v>
      </c>
      <c r="D200" s="4" t="s">
        <v>46</v>
      </c>
      <c r="E200" s="4">
        <v>3.25490196078431</v>
      </c>
      <c r="F200" s="4">
        <v>1.39792119007456</v>
      </c>
      <c r="G200" s="4">
        <v>102.0</v>
      </c>
      <c r="H200" s="4">
        <v>4.02970297029703</v>
      </c>
      <c r="I200" s="4">
        <v>1.68793036316404</v>
      </c>
      <c r="J200" s="4">
        <v>101.0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 t="s">
        <v>425</v>
      </c>
      <c r="B201" s="4" t="s">
        <v>426</v>
      </c>
      <c r="C201" s="4" t="s">
        <v>11</v>
      </c>
      <c r="D201" s="4" t="s">
        <v>427</v>
      </c>
      <c r="E201" s="4">
        <v>5.45098039215686</v>
      </c>
      <c r="F201" s="4">
        <v>1.09569319782964</v>
      </c>
      <c r="G201" s="4">
        <v>102.0</v>
      </c>
      <c r="H201" s="4">
        <v>4.5049504950495</v>
      </c>
      <c r="I201" s="4">
        <v>1.41155065354551</v>
      </c>
      <c r="J201" s="4">
        <v>101.0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 t="s">
        <v>428</v>
      </c>
      <c r="B202" s="4" t="s">
        <v>429</v>
      </c>
      <c r="C202" s="4" t="s">
        <v>15</v>
      </c>
      <c r="D202" s="4" t="s">
        <v>46</v>
      </c>
      <c r="E202" s="4">
        <v>3.26851851851852</v>
      </c>
      <c r="F202" s="4">
        <v>1.24259662917273</v>
      </c>
      <c r="G202" s="4">
        <v>108.0</v>
      </c>
      <c r="H202" s="4">
        <v>3.75961538461538</v>
      </c>
      <c r="I202" s="4">
        <v>1.87727954535586</v>
      </c>
      <c r="J202" s="4">
        <v>104.0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 t="s">
        <v>430</v>
      </c>
      <c r="B203" s="4" t="s">
        <v>431</v>
      </c>
      <c r="C203" s="4" t="s">
        <v>39</v>
      </c>
      <c r="D203" s="4" t="s">
        <v>46</v>
      </c>
      <c r="E203" s="4">
        <v>3.27722772277228</v>
      </c>
      <c r="F203" s="4">
        <v>1.14121699848178</v>
      </c>
      <c r="G203" s="4">
        <v>101.0</v>
      </c>
      <c r="H203" s="4">
        <v>3.57281553398058</v>
      </c>
      <c r="I203" s="4">
        <v>1.79652137584666</v>
      </c>
      <c r="J203" s="4">
        <v>103.0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 t="s">
        <v>432</v>
      </c>
      <c r="B204" s="4" t="s">
        <v>433</v>
      </c>
      <c r="C204" s="4" t="s">
        <v>25</v>
      </c>
      <c r="D204" s="4" t="s">
        <v>12</v>
      </c>
      <c r="E204" s="4">
        <v>3.2843137254902</v>
      </c>
      <c r="F204" s="4">
        <v>1.27719875237845</v>
      </c>
      <c r="G204" s="4">
        <v>102.0</v>
      </c>
      <c r="H204" s="4">
        <v>4.06930693069307</v>
      </c>
      <c r="I204" s="4">
        <v>1.79029285728662</v>
      </c>
      <c r="J204" s="4">
        <v>101.0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 t="s">
        <v>434</v>
      </c>
      <c r="B205" s="4" t="s">
        <v>435</v>
      </c>
      <c r="C205" s="4" t="s">
        <v>11</v>
      </c>
      <c r="D205" s="4" t="s">
        <v>12</v>
      </c>
      <c r="E205" s="4">
        <v>5.44444444444444</v>
      </c>
      <c r="F205" s="4">
        <v>1.02613814935302</v>
      </c>
      <c r="G205" s="4">
        <v>108.0</v>
      </c>
      <c r="H205" s="4">
        <v>3.30769230769231</v>
      </c>
      <c r="I205" s="4">
        <v>1.58926570989224</v>
      </c>
      <c r="J205" s="4">
        <v>104.0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 t="s">
        <v>436</v>
      </c>
      <c r="B206" s="4" t="s">
        <v>437</v>
      </c>
      <c r="C206" s="4" t="s">
        <v>15</v>
      </c>
      <c r="D206" s="4" t="s">
        <v>12</v>
      </c>
      <c r="E206" s="4">
        <v>3.28712871287129</v>
      </c>
      <c r="F206" s="4">
        <v>1.09851384755374</v>
      </c>
      <c r="G206" s="4">
        <v>101.0</v>
      </c>
      <c r="H206" s="4">
        <v>3.61165048543689</v>
      </c>
      <c r="I206" s="4">
        <v>1.78354686118803</v>
      </c>
      <c r="J206" s="4">
        <v>103.0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 t="s">
        <v>438</v>
      </c>
      <c r="B207" s="4" t="s">
        <v>439</v>
      </c>
      <c r="C207" s="4" t="s">
        <v>11</v>
      </c>
      <c r="D207" s="4" t="s">
        <v>46</v>
      </c>
      <c r="E207" s="4">
        <v>5.44117647058824</v>
      </c>
      <c r="F207" s="4">
        <v>1.07697347671143</v>
      </c>
      <c r="G207" s="4">
        <v>102.0</v>
      </c>
      <c r="H207" s="4">
        <v>4.40594059405941</v>
      </c>
      <c r="I207" s="4">
        <v>1.55034330276737</v>
      </c>
      <c r="J207" s="4">
        <v>101.0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 t="s">
        <v>440</v>
      </c>
      <c r="B208" s="4" t="s">
        <v>441</v>
      </c>
      <c r="C208" s="4" t="s">
        <v>25</v>
      </c>
      <c r="D208" s="4" t="s">
        <v>46</v>
      </c>
      <c r="E208" s="4">
        <v>3.32352941176471</v>
      </c>
      <c r="F208" s="4">
        <v>1.25990542396809</v>
      </c>
      <c r="G208" s="4">
        <v>102.0</v>
      </c>
      <c r="H208" s="4">
        <v>4.40594059405941</v>
      </c>
      <c r="I208" s="4">
        <v>1.57593285276868</v>
      </c>
      <c r="J208" s="4">
        <v>101.0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 t="s">
        <v>442</v>
      </c>
      <c r="B209" s="4" t="s">
        <v>443</v>
      </c>
      <c r="C209" s="4" t="s">
        <v>11</v>
      </c>
      <c r="D209" s="4" t="s">
        <v>46</v>
      </c>
      <c r="E209" s="4">
        <v>5.43137254901961</v>
      </c>
      <c r="F209" s="4">
        <v>1.04842931953035</v>
      </c>
      <c r="G209" s="4">
        <v>102.0</v>
      </c>
      <c r="H209" s="4">
        <v>4.33663366336634</v>
      </c>
      <c r="I209" s="4">
        <v>1.63264955041045</v>
      </c>
      <c r="J209" s="4">
        <v>101.0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 t="s">
        <v>444</v>
      </c>
      <c r="B210" s="4" t="s">
        <v>445</v>
      </c>
      <c r="C210" s="4" t="s">
        <v>11</v>
      </c>
      <c r="D210" s="4" t="s">
        <v>12</v>
      </c>
      <c r="E210" s="4">
        <v>5.43137254901961</v>
      </c>
      <c r="F210" s="4">
        <v>0.969942367600625</v>
      </c>
      <c r="G210" s="4">
        <v>102.0</v>
      </c>
      <c r="H210" s="4">
        <v>3.34653465346535</v>
      </c>
      <c r="I210" s="4">
        <v>1.60272045949602</v>
      </c>
      <c r="J210" s="4">
        <v>101.0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 t="s">
        <v>446</v>
      </c>
      <c r="B211" s="4" t="s">
        <v>447</v>
      </c>
      <c r="C211" s="4" t="s">
        <v>15</v>
      </c>
      <c r="D211" s="4" t="s">
        <v>12</v>
      </c>
      <c r="E211" s="4">
        <v>3.34313725490196</v>
      </c>
      <c r="F211" s="4">
        <v>1.04829043325775</v>
      </c>
      <c r="G211" s="4">
        <v>102.0</v>
      </c>
      <c r="H211" s="4">
        <v>3.7029702970297</v>
      </c>
      <c r="I211" s="4">
        <v>1.55913151757923</v>
      </c>
      <c r="J211" s="4">
        <v>101.0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 t="s">
        <v>448</v>
      </c>
      <c r="B212" s="4" t="s">
        <v>449</v>
      </c>
      <c r="C212" s="4" t="s">
        <v>15</v>
      </c>
      <c r="D212" s="4" t="s">
        <v>46</v>
      </c>
      <c r="E212" s="4">
        <v>3.36274509803922</v>
      </c>
      <c r="F212" s="4">
        <v>1.29576015142666</v>
      </c>
      <c r="G212" s="4">
        <v>102.0</v>
      </c>
      <c r="H212" s="4">
        <v>3.24752475247525</v>
      </c>
      <c r="I212" s="4">
        <v>1.66976609496096</v>
      </c>
      <c r="J212" s="4">
        <v>101.0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 t="s">
        <v>450</v>
      </c>
      <c r="B213" s="4" t="s">
        <v>451</v>
      </c>
      <c r="C213" s="4" t="s">
        <v>11</v>
      </c>
      <c r="D213" s="4" t="s">
        <v>452</v>
      </c>
      <c r="E213" s="4">
        <v>5.42592592592593</v>
      </c>
      <c r="F213" s="4">
        <v>1.16974079486527</v>
      </c>
      <c r="G213" s="4">
        <v>108.0</v>
      </c>
      <c r="H213" s="4">
        <v>3.31067961165049</v>
      </c>
      <c r="I213" s="4">
        <v>1.70368186189236</v>
      </c>
      <c r="J213" s="4">
        <v>103.0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 t="s">
        <v>453</v>
      </c>
      <c r="B214" s="4" t="s">
        <v>454</v>
      </c>
      <c r="C214" s="4" t="s">
        <v>11</v>
      </c>
      <c r="D214" s="4" t="s">
        <v>46</v>
      </c>
      <c r="E214" s="4">
        <v>5.42156862745098</v>
      </c>
      <c r="F214" s="4">
        <v>1.2058953742591</v>
      </c>
      <c r="G214" s="4">
        <v>102.0</v>
      </c>
      <c r="H214" s="4">
        <v>4.99009900990099</v>
      </c>
      <c r="I214" s="4">
        <v>1.33787181377702</v>
      </c>
      <c r="J214" s="4">
        <v>101.0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 t="s">
        <v>455</v>
      </c>
      <c r="B215" s="4" t="s">
        <v>456</v>
      </c>
      <c r="C215" s="4" t="s">
        <v>11</v>
      </c>
      <c r="D215" s="4" t="s">
        <v>12</v>
      </c>
      <c r="E215" s="4">
        <v>5.42156862745098</v>
      </c>
      <c r="F215" s="4">
        <v>1.33821422688067</v>
      </c>
      <c r="G215" s="4">
        <v>102.0</v>
      </c>
      <c r="H215" s="4">
        <v>3.89108910891089</v>
      </c>
      <c r="I215" s="4">
        <v>1.70235713115086</v>
      </c>
      <c r="J215" s="4">
        <v>101.0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 t="s">
        <v>457</v>
      </c>
      <c r="B216" s="4" t="s">
        <v>458</v>
      </c>
      <c r="C216" s="4" t="s">
        <v>25</v>
      </c>
      <c r="D216" s="4" t="s">
        <v>46</v>
      </c>
      <c r="E216" s="4">
        <v>3.42574257425743</v>
      </c>
      <c r="F216" s="4">
        <v>1.24375668563803</v>
      </c>
      <c r="G216" s="4">
        <v>101.0</v>
      </c>
      <c r="H216" s="4">
        <v>4.47572815533981</v>
      </c>
      <c r="I216" s="4">
        <v>1.62604211045834</v>
      </c>
      <c r="J216" s="4">
        <v>103.0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 t="s">
        <v>459</v>
      </c>
      <c r="B217" s="4" t="s">
        <v>460</v>
      </c>
      <c r="C217" s="4" t="s">
        <v>25</v>
      </c>
      <c r="D217" s="4" t="s">
        <v>46</v>
      </c>
      <c r="E217" s="4">
        <v>3.43137254901961</v>
      </c>
      <c r="F217" s="4">
        <v>1.74350167692974</v>
      </c>
      <c r="G217" s="4">
        <v>102.0</v>
      </c>
      <c r="H217" s="4">
        <v>3.93069306930693</v>
      </c>
      <c r="I217" s="4">
        <v>1.81249786616467</v>
      </c>
      <c r="J217" s="4">
        <v>101.0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 t="s">
        <v>461</v>
      </c>
      <c r="B218" s="4" t="s">
        <v>462</v>
      </c>
      <c r="C218" s="4" t="s">
        <v>39</v>
      </c>
      <c r="D218" s="4" t="s">
        <v>12</v>
      </c>
      <c r="E218" s="4">
        <v>3.44444444444444</v>
      </c>
      <c r="F218" s="4">
        <v>1.38303021863941</v>
      </c>
      <c r="G218" s="4">
        <v>108.0</v>
      </c>
      <c r="H218" s="4">
        <v>2.66346153846154</v>
      </c>
      <c r="I218" s="4">
        <v>1.69871783129247</v>
      </c>
      <c r="J218" s="4">
        <v>104.0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 t="s">
        <v>463</v>
      </c>
      <c r="B219" s="4" t="s">
        <v>464</v>
      </c>
      <c r="C219" s="4" t="s">
        <v>39</v>
      </c>
      <c r="D219" s="4" t="s">
        <v>12</v>
      </c>
      <c r="E219" s="4">
        <v>3.44554455445545</v>
      </c>
      <c r="F219" s="4">
        <v>1.39624673696845</v>
      </c>
      <c r="G219" s="4">
        <v>101.0</v>
      </c>
      <c r="H219" s="4">
        <v>4.64077669902913</v>
      </c>
      <c r="I219" s="4">
        <v>1.74251547342858</v>
      </c>
      <c r="J219" s="4">
        <v>103.0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 t="s">
        <v>465</v>
      </c>
      <c r="B220" s="4" t="s">
        <v>466</v>
      </c>
      <c r="C220" s="4" t="s">
        <v>11</v>
      </c>
      <c r="D220" s="4" t="s">
        <v>12</v>
      </c>
      <c r="E220" s="4">
        <v>5.40740740740741</v>
      </c>
      <c r="F220" s="4">
        <v>0.947569808905051</v>
      </c>
      <c r="G220" s="4">
        <v>108.0</v>
      </c>
      <c r="H220" s="4">
        <v>3.21153846153846</v>
      </c>
      <c r="I220" s="4">
        <v>1.54337341354968</v>
      </c>
      <c r="J220" s="4">
        <v>104.0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 t="s">
        <v>467</v>
      </c>
      <c r="B221" s="4" t="s">
        <v>468</v>
      </c>
      <c r="C221" s="4" t="s">
        <v>25</v>
      </c>
      <c r="D221" s="4" t="s">
        <v>469</v>
      </c>
      <c r="E221" s="4">
        <v>3.4537037037037</v>
      </c>
      <c r="F221" s="4">
        <v>1.53089222814402</v>
      </c>
      <c r="G221" s="4">
        <v>108.0</v>
      </c>
      <c r="H221" s="4">
        <v>4.05769230769231</v>
      </c>
      <c r="I221" s="4">
        <v>1.79441919682131</v>
      </c>
      <c r="J221" s="4">
        <v>104.0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 t="s">
        <v>470</v>
      </c>
      <c r="B222" s="4" t="s">
        <v>471</v>
      </c>
      <c r="C222" s="4" t="s">
        <v>11</v>
      </c>
      <c r="D222" s="4" t="s">
        <v>12</v>
      </c>
      <c r="E222" s="4">
        <v>5.3921568627451</v>
      </c>
      <c r="F222" s="4">
        <v>1.23606580254441</v>
      </c>
      <c r="G222" s="4">
        <v>102.0</v>
      </c>
      <c r="H222" s="4">
        <v>4.3960396039604</v>
      </c>
      <c r="I222" s="4">
        <v>1.58163970562699</v>
      </c>
      <c r="J222" s="4">
        <v>101.0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 t="s">
        <v>472</v>
      </c>
      <c r="B223" s="4" t="s">
        <v>473</v>
      </c>
      <c r="C223" s="4" t="s">
        <v>11</v>
      </c>
      <c r="D223" s="4" t="s">
        <v>46</v>
      </c>
      <c r="E223" s="4">
        <v>5.38613861386139</v>
      </c>
      <c r="F223" s="4">
        <v>1.20805874881732</v>
      </c>
      <c r="G223" s="4">
        <v>101.0</v>
      </c>
      <c r="H223" s="4">
        <v>4.78640776699029</v>
      </c>
      <c r="I223" s="4">
        <v>1.74698892460261</v>
      </c>
      <c r="J223" s="4">
        <v>103.0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 t="s">
        <v>474</v>
      </c>
      <c r="B224" s="4" t="s">
        <v>475</v>
      </c>
      <c r="C224" s="4" t="s">
        <v>11</v>
      </c>
      <c r="D224" s="4" t="s">
        <v>12</v>
      </c>
      <c r="E224" s="4">
        <v>5.37254901960784</v>
      </c>
      <c r="F224" s="4">
        <v>1.41366435320195</v>
      </c>
      <c r="G224" s="4">
        <v>102.0</v>
      </c>
      <c r="H224" s="4">
        <v>4.78217821782178</v>
      </c>
      <c r="I224" s="4">
        <v>1.84718142257895</v>
      </c>
      <c r="J224" s="4">
        <v>101.0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 t="s">
        <v>476</v>
      </c>
      <c r="B225" s="4" t="s">
        <v>477</v>
      </c>
      <c r="C225" s="4" t="s">
        <v>11</v>
      </c>
      <c r="D225" s="4" t="s">
        <v>478</v>
      </c>
      <c r="E225" s="4">
        <v>5.36274509803922</v>
      </c>
      <c r="F225" s="4">
        <v>1.06044279642076</v>
      </c>
      <c r="G225" s="4">
        <v>102.0</v>
      </c>
      <c r="H225" s="4">
        <v>4.46534653465347</v>
      </c>
      <c r="I225" s="4">
        <v>1.38970756949542</v>
      </c>
      <c r="J225" s="4">
        <v>101.0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 t="s">
        <v>479</v>
      </c>
      <c r="B226" s="4" t="s">
        <v>480</v>
      </c>
      <c r="C226" s="4" t="s">
        <v>11</v>
      </c>
      <c r="D226" s="4" t="s">
        <v>46</v>
      </c>
      <c r="E226" s="4">
        <v>5.36274509803922</v>
      </c>
      <c r="F226" s="4">
        <v>1.26482664789811</v>
      </c>
      <c r="G226" s="4">
        <v>102.0</v>
      </c>
      <c r="H226" s="4">
        <v>3.88118811881188</v>
      </c>
      <c r="I226" s="4">
        <v>1.6265738760528</v>
      </c>
      <c r="J226" s="4">
        <v>101.0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481</v>
      </c>
      <c r="B227" s="4" t="s">
        <v>482</v>
      </c>
      <c r="C227" s="4" t="s">
        <v>11</v>
      </c>
      <c r="D227" s="4" t="s">
        <v>46</v>
      </c>
      <c r="E227" s="4">
        <v>5.35294117647059</v>
      </c>
      <c r="F227" s="4">
        <v>1.30229849222141</v>
      </c>
      <c r="G227" s="4">
        <v>102.0</v>
      </c>
      <c r="H227" s="4">
        <v>4.94059405940594</v>
      </c>
      <c r="I227" s="4">
        <v>1.80455968135287</v>
      </c>
      <c r="J227" s="4">
        <v>101.0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 t="s">
        <v>483</v>
      </c>
      <c r="B228" s="4" t="s">
        <v>484</v>
      </c>
      <c r="C228" s="4" t="s">
        <v>39</v>
      </c>
      <c r="D228" s="4" t="s">
        <v>12</v>
      </c>
      <c r="E228" s="4">
        <v>3.51960784313725</v>
      </c>
      <c r="F228" s="4">
        <v>1.48077041867035</v>
      </c>
      <c r="G228" s="4">
        <v>102.0</v>
      </c>
      <c r="H228" s="4">
        <v>4.72277227722772</v>
      </c>
      <c r="I228" s="4">
        <v>1.67402993928536</v>
      </c>
      <c r="J228" s="4">
        <v>101.0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 t="s">
        <v>485</v>
      </c>
      <c r="B229" s="4" t="s">
        <v>486</v>
      </c>
      <c r="C229" s="4" t="s">
        <v>11</v>
      </c>
      <c r="D229" s="4" t="s">
        <v>46</v>
      </c>
      <c r="E229" s="4">
        <v>5.35294117647059</v>
      </c>
      <c r="F229" s="4">
        <v>1.04972470529257</v>
      </c>
      <c r="G229" s="4">
        <v>102.0</v>
      </c>
      <c r="H229" s="4">
        <v>3.06930693069307</v>
      </c>
      <c r="I229" s="4">
        <v>1.58907158896366</v>
      </c>
      <c r="J229" s="4">
        <v>101.0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 t="s">
        <v>487</v>
      </c>
      <c r="B230" s="4" t="s">
        <v>488</v>
      </c>
      <c r="C230" s="4" t="s">
        <v>11</v>
      </c>
      <c r="D230" s="4" t="s">
        <v>12</v>
      </c>
      <c r="E230" s="4">
        <v>5.33333333333333</v>
      </c>
      <c r="F230" s="4">
        <v>1.13742224918334</v>
      </c>
      <c r="G230" s="4">
        <v>102.0</v>
      </c>
      <c r="H230" s="4">
        <v>4.6039603960396</v>
      </c>
      <c r="I230" s="4">
        <v>1.72672642836549</v>
      </c>
      <c r="J230" s="4">
        <v>101.0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 t="s">
        <v>489</v>
      </c>
      <c r="B231" s="4" t="s">
        <v>490</v>
      </c>
      <c r="C231" s="4" t="s">
        <v>11</v>
      </c>
      <c r="D231" s="17" t="s">
        <v>491</v>
      </c>
      <c r="E231" s="4">
        <v>5.33333333333333</v>
      </c>
      <c r="F231" s="4">
        <v>1.01798999521755</v>
      </c>
      <c r="G231" s="4">
        <v>102.0</v>
      </c>
      <c r="H231" s="4">
        <v>3.23762376237624</v>
      </c>
      <c r="I231" s="4">
        <v>1.74441116054378</v>
      </c>
      <c r="J231" s="4">
        <v>101.0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 t="s">
        <v>492</v>
      </c>
      <c r="B232" s="4" t="s">
        <v>493</v>
      </c>
      <c r="C232" s="4" t="s">
        <v>39</v>
      </c>
      <c r="D232" s="4" t="s">
        <v>12</v>
      </c>
      <c r="E232" s="4">
        <v>3.54455445544554</v>
      </c>
      <c r="F232" s="4">
        <v>0.83096031764757</v>
      </c>
      <c r="G232" s="4">
        <v>101.0</v>
      </c>
      <c r="H232" s="4">
        <v>1.99029126213592</v>
      </c>
      <c r="I232" s="4">
        <v>1.37552232953178</v>
      </c>
      <c r="J232" s="4">
        <v>103.0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 t="s">
        <v>494</v>
      </c>
      <c r="B233" s="4" t="s">
        <v>495</v>
      </c>
      <c r="C233" s="4" t="s">
        <v>11</v>
      </c>
      <c r="D233" s="4" t="s">
        <v>12</v>
      </c>
      <c r="E233" s="4">
        <v>5.32673267326733</v>
      </c>
      <c r="F233" s="4">
        <v>1.17566075796625</v>
      </c>
      <c r="G233" s="4">
        <v>101.0</v>
      </c>
      <c r="H233" s="4">
        <v>3.37864077669903</v>
      </c>
      <c r="I233" s="4">
        <v>1.59113047033079</v>
      </c>
      <c r="J233" s="4">
        <v>103.0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 t="s">
        <v>496</v>
      </c>
      <c r="B234" s="4" t="s">
        <v>497</v>
      </c>
      <c r="C234" s="4" t="s">
        <v>39</v>
      </c>
      <c r="D234" s="4" t="s">
        <v>12</v>
      </c>
      <c r="E234" s="4">
        <v>3.55555555555556</v>
      </c>
      <c r="F234" s="4">
        <v>0.878968526047396</v>
      </c>
      <c r="G234" s="4">
        <v>108.0</v>
      </c>
      <c r="H234" s="4">
        <v>2.48543689320388</v>
      </c>
      <c r="I234" s="4">
        <v>1.66782750359946</v>
      </c>
      <c r="J234" s="4">
        <v>103.0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 t="s">
        <v>498</v>
      </c>
      <c r="B235" s="4" t="s">
        <v>499</v>
      </c>
      <c r="C235" s="4" t="s">
        <v>11</v>
      </c>
      <c r="D235" s="4" t="s">
        <v>12</v>
      </c>
      <c r="E235" s="4">
        <v>5.32352941176471</v>
      </c>
      <c r="F235" s="4">
        <v>1.10947106036158</v>
      </c>
      <c r="G235" s="4">
        <v>102.0</v>
      </c>
      <c r="H235" s="4">
        <v>3.8019801980198</v>
      </c>
      <c r="I235" s="4">
        <v>1.69127054003904</v>
      </c>
      <c r="J235" s="4">
        <v>101.0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 t="s">
        <v>500</v>
      </c>
      <c r="B236" s="4" t="s">
        <v>501</v>
      </c>
      <c r="C236" s="4" t="s">
        <v>11</v>
      </c>
      <c r="D236" s="4" t="s">
        <v>12</v>
      </c>
      <c r="E236" s="4">
        <v>5.31372549019608</v>
      </c>
      <c r="F236" s="4">
        <v>0.889770157849353</v>
      </c>
      <c r="G236" s="4">
        <v>102.0</v>
      </c>
      <c r="H236" s="4">
        <v>3.40594059405941</v>
      </c>
      <c r="I236" s="4">
        <v>1.42252042390809</v>
      </c>
      <c r="J236" s="4">
        <v>101.0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 t="s">
        <v>502</v>
      </c>
      <c r="B237" s="4" t="s">
        <v>503</v>
      </c>
      <c r="C237" s="4" t="s">
        <v>15</v>
      </c>
      <c r="D237" s="4" t="s">
        <v>12</v>
      </c>
      <c r="E237" s="4">
        <v>3.56862745098039</v>
      </c>
      <c r="F237" s="4">
        <v>0.949307240081243</v>
      </c>
      <c r="G237" s="4">
        <v>102.0</v>
      </c>
      <c r="H237" s="4">
        <v>2.34653465346535</v>
      </c>
      <c r="I237" s="4">
        <v>1.32238907712032</v>
      </c>
      <c r="J237" s="4">
        <v>101.0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 t="s">
        <v>504</v>
      </c>
      <c r="B238" s="4" t="s">
        <v>505</v>
      </c>
      <c r="C238" s="4" t="s">
        <v>39</v>
      </c>
      <c r="D238" s="4" t="s">
        <v>46</v>
      </c>
      <c r="E238" s="4">
        <v>3.57843137254902</v>
      </c>
      <c r="F238" s="4">
        <v>1.23028029093111</v>
      </c>
      <c r="G238" s="4">
        <v>102.0</v>
      </c>
      <c r="H238" s="4">
        <v>3.61386138613861</v>
      </c>
      <c r="I238" s="4">
        <v>1.59355136114091</v>
      </c>
      <c r="J238" s="4">
        <v>101.0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 t="s">
        <v>506</v>
      </c>
      <c r="B239" s="4" t="s">
        <v>507</v>
      </c>
      <c r="C239" s="4" t="s">
        <v>25</v>
      </c>
      <c r="D239" s="4" t="s">
        <v>12</v>
      </c>
      <c r="E239" s="4">
        <v>3.59803921568627</v>
      </c>
      <c r="F239" s="4">
        <v>1.42994705933692</v>
      </c>
      <c r="G239" s="4">
        <v>102.0</v>
      </c>
      <c r="H239" s="4">
        <v>4.44554455445545</v>
      </c>
      <c r="I239" s="4">
        <v>1.68804767423644</v>
      </c>
      <c r="J239" s="4">
        <v>101.0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 t="s">
        <v>508</v>
      </c>
      <c r="B240" s="4" t="s">
        <v>509</v>
      </c>
      <c r="C240" s="4" t="s">
        <v>11</v>
      </c>
      <c r="D240" s="4" t="s">
        <v>12</v>
      </c>
      <c r="E240" s="4">
        <v>5.30392156862745</v>
      </c>
      <c r="F240" s="4">
        <v>0.962558633279285</v>
      </c>
      <c r="G240" s="4">
        <v>102.0</v>
      </c>
      <c r="H240" s="4">
        <v>3.43564356435644</v>
      </c>
      <c r="I240" s="4">
        <v>1.61502843061141</v>
      </c>
      <c r="J240" s="4">
        <v>101.0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 t="s">
        <v>510</v>
      </c>
      <c r="B241" s="4" t="s">
        <v>511</v>
      </c>
      <c r="C241" s="4" t="s">
        <v>25</v>
      </c>
      <c r="D241" s="4" t="s">
        <v>512</v>
      </c>
      <c r="E241" s="4">
        <v>3.6039603960396</v>
      </c>
      <c r="F241" s="4">
        <v>1.29675909806557</v>
      </c>
      <c r="G241" s="4">
        <v>101.0</v>
      </c>
      <c r="H241" s="4">
        <v>4.11650485436893</v>
      </c>
      <c r="I241" s="4">
        <v>1.59841202370516</v>
      </c>
      <c r="J241" s="4">
        <v>103.0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 t="s">
        <v>513</v>
      </c>
      <c r="B242" s="4" t="s">
        <v>514</v>
      </c>
      <c r="C242" s="4" t="s">
        <v>25</v>
      </c>
      <c r="D242" s="17" t="s">
        <v>515</v>
      </c>
      <c r="E242" s="4">
        <v>3.62037037037037</v>
      </c>
      <c r="F242" s="4">
        <v>1.22830779874577</v>
      </c>
      <c r="G242" s="4">
        <v>108.0</v>
      </c>
      <c r="H242" s="4">
        <v>3.56730769230769</v>
      </c>
      <c r="I242" s="4">
        <v>1.69959688582593</v>
      </c>
      <c r="J242" s="4">
        <v>104.0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 t="s">
        <v>516</v>
      </c>
      <c r="B243" s="4" t="s">
        <v>517</v>
      </c>
      <c r="C243" s="4" t="s">
        <v>11</v>
      </c>
      <c r="D243" s="4" t="s">
        <v>518</v>
      </c>
      <c r="E243" s="4">
        <v>5.2970297029703</v>
      </c>
      <c r="F243" s="4">
        <v>1.57190683219741</v>
      </c>
      <c r="G243" s="4">
        <v>101.0</v>
      </c>
      <c r="H243" s="4">
        <v>5.42718446601942</v>
      </c>
      <c r="I243" s="4">
        <v>1.74671648118368</v>
      </c>
      <c r="J243" s="4">
        <v>103.0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 t="s">
        <v>519</v>
      </c>
      <c r="B244" s="4" t="s">
        <v>520</v>
      </c>
      <c r="C244" s="4" t="s">
        <v>11</v>
      </c>
      <c r="D244" s="4" t="s">
        <v>12</v>
      </c>
      <c r="E244" s="4">
        <v>5.2962962962963</v>
      </c>
      <c r="F244" s="4">
        <v>1.54229625661341</v>
      </c>
      <c r="G244" s="4">
        <v>108.0</v>
      </c>
      <c r="H244" s="4">
        <v>5.25961538461539</v>
      </c>
      <c r="I244" s="4">
        <v>1.53910320823077</v>
      </c>
      <c r="J244" s="4">
        <v>104.0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 t="s">
        <v>521</v>
      </c>
      <c r="B245" s="4" t="s">
        <v>522</v>
      </c>
      <c r="C245" s="4" t="s">
        <v>25</v>
      </c>
      <c r="D245" s="4" t="s">
        <v>46</v>
      </c>
      <c r="E245" s="4">
        <v>3.64814814814815</v>
      </c>
      <c r="F245" s="4">
        <v>1.4808106823333</v>
      </c>
      <c r="G245" s="4">
        <v>108.0</v>
      </c>
      <c r="H245" s="4">
        <v>3.61538461538462</v>
      </c>
      <c r="I245" s="4">
        <v>1.7253545706098</v>
      </c>
      <c r="J245" s="4">
        <v>104.0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 t="s">
        <v>523</v>
      </c>
      <c r="B246" s="4" t="s">
        <v>524</v>
      </c>
      <c r="C246" s="4" t="s">
        <v>11</v>
      </c>
      <c r="D246" s="4" t="s">
        <v>12</v>
      </c>
      <c r="E246" s="4">
        <v>5.29411764705882</v>
      </c>
      <c r="F246" s="4">
        <v>1.21531673167918</v>
      </c>
      <c r="G246" s="4">
        <v>102.0</v>
      </c>
      <c r="H246" s="4">
        <v>4.27722772277228</v>
      </c>
      <c r="I246" s="4">
        <v>1.73849827081414</v>
      </c>
      <c r="J246" s="4">
        <v>101.0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 t="s">
        <v>525</v>
      </c>
      <c r="B247" s="4" t="s">
        <v>526</v>
      </c>
      <c r="C247" s="4" t="s">
        <v>15</v>
      </c>
      <c r="D247" s="4" t="s">
        <v>12</v>
      </c>
      <c r="E247" s="4">
        <v>3.64814814814815</v>
      </c>
      <c r="F247" s="4">
        <v>0.960089703897114</v>
      </c>
      <c r="G247" s="4">
        <v>108.0</v>
      </c>
      <c r="H247" s="4">
        <v>2.28846153846154</v>
      </c>
      <c r="I247" s="4">
        <v>1.36298556448401</v>
      </c>
      <c r="J247" s="4">
        <v>104.0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 t="s">
        <v>527</v>
      </c>
      <c r="B248" s="4" t="s">
        <v>528</v>
      </c>
      <c r="C248" s="4" t="s">
        <v>25</v>
      </c>
      <c r="D248" s="4" t="s">
        <v>12</v>
      </c>
      <c r="E248" s="4">
        <v>3.65686274509804</v>
      </c>
      <c r="F248" s="4">
        <v>1.47919631670404</v>
      </c>
      <c r="G248" s="4">
        <v>102.0</v>
      </c>
      <c r="H248" s="4">
        <v>4.56435643564356</v>
      </c>
      <c r="I248" s="4">
        <v>1.56470982347628</v>
      </c>
      <c r="J248" s="4">
        <v>101.0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 t="s">
        <v>529</v>
      </c>
      <c r="B249" s="4" t="s">
        <v>530</v>
      </c>
      <c r="C249" s="4" t="s">
        <v>25</v>
      </c>
      <c r="D249" s="4" t="s">
        <v>531</v>
      </c>
      <c r="E249" s="4">
        <v>3.65686274509804</v>
      </c>
      <c r="F249" s="4">
        <v>1.47919631670404</v>
      </c>
      <c r="G249" s="4">
        <v>102.0</v>
      </c>
      <c r="H249" s="4">
        <v>4.27722772277228</v>
      </c>
      <c r="I249" s="4">
        <v>1.7556697404762</v>
      </c>
      <c r="J249" s="4">
        <v>101.0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 t="s">
        <v>532</v>
      </c>
      <c r="B250" s="4" t="s">
        <v>533</v>
      </c>
      <c r="C250" s="4" t="s">
        <v>11</v>
      </c>
      <c r="D250" s="4" t="s">
        <v>12</v>
      </c>
      <c r="E250" s="4">
        <v>5.29411764705882</v>
      </c>
      <c r="F250" s="4">
        <v>1.17387599741594</v>
      </c>
      <c r="G250" s="4">
        <v>102.0</v>
      </c>
      <c r="H250" s="4">
        <v>3.64356435643564</v>
      </c>
      <c r="I250" s="4">
        <v>1.73542017053993</v>
      </c>
      <c r="J250" s="4">
        <v>101.0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 t="s">
        <v>534</v>
      </c>
      <c r="B251" s="4" t="s">
        <v>535</v>
      </c>
      <c r="C251" s="4" t="s">
        <v>11</v>
      </c>
      <c r="D251" s="4" t="s">
        <v>12</v>
      </c>
      <c r="E251" s="4">
        <v>5.29411764705882</v>
      </c>
      <c r="F251" s="4">
        <v>1.14829391564843</v>
      </c>
      <c r="G251" s="4">
        <v>102.0</v>
      </c>
      <c r="H251" s="4">
        <v>3.38613861386139</v>
      </c>
      <c r="I251" s="4">
        <v>1.86531657918812</v>
      </c>
      <c r="J251" s="4">
        <v>101.0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 t="s">
        <v>536</v>
      </c>
      <c r="B252" s="4" t="s">
        <v>537</v>
      </c>
      <c r="C252" s="4" t="s">
        <v>11</v>
      </c>
      <c r="D252" s="4" t="s">
        <v>12</v>
      </c>
      <c r="E252" s="4">
        <v>5.28712871287129</v>
      </c>
      <c r="F252" s="4">
        <v>0.983225647177354</v>
      </c>
      <c r="G252" s="4">
        <v>101.0</v>
      </c>
      <c r="H252" s="4">
        <v>3.33980582524272</v>
      </c>
      <c r="I252" s="4">
        <v>1.5374628837111</v>
      </c>
      <c r="J252" s="4">
        <v>103.0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 t="s">
        <v>538</v>
      </c>
      <c r="B253" s="4" t="s">
        <v>539</v>
      </c>
      <c r="C253" s="4" t="s">
        <v>11</v>
      </c>
      <c r="D253" s="4" t="s">
        <v>46</v>
      </c>
      <c r="E253" s="4">
        <v>5.2843137254902</v>
      </c>
      <c r="F253" s="4">
        <v>1.4649532887521</v>
      </c>
      <c r="G253" s="4">
        <v>102.0</v>
      </c>
      <c r="H253" s="4">
        <v>5.37623762376238</v>
      </c>
      <c r="I253" s="4">
        <v>1.81577248105876</v>
      </c>
      <c r="J253" s="4">
        <v>101.0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 t="s">
        <v>540</v>
      </c>
      <c r="B254" s="4" t="s">
        <v>541</v>
      </c>
      <c r="C254" s="4" t="s">
        <v>11</v>
      </c>
      <c r="D254" s="4" t="s">
        <v>542</v>
      </c>
      <c r="E254" s="4">
        <v>5.27777777777778</v>
      </c>
      <c r="F254" s="4">
        <v>1.26663387398116</v>
      </c>
      <c r="G254" s="4">
        <v>108.0</v>
      </c>
      <c r="H254" s="4">
        <v>4.70192307692308</v>
      </c>
      <c r="I254" s="4">
        <v>1.51932411961147</v>
      </c>
      <c r="J254" s="4">
        <v>104.0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 t="s">
        <v>543</v>
      </c>
      <c r="B255" s="4" t="s">
        <v>544</v>
      </c>
      <c r="C255" s="4" t="s">
        <v>15</v>
      </c>
      <c r="D255" s="4" t="s">
        <v>12</v>
      </c>
      <c r="E255" s="4">
        <v>3.70588235294118</v>
      </c>
      <c r="F255" s="4">
        <v>1.13963895007023</v>
      </c>
      <c r="G255" s="4">
        <v>102.0</v>
      </c>
      <c r="H255" s="4">
        <v>2.55445544554455</v>
      </c>
      <c r="I255" s="4">
        <v>1.50648762042542</v>
      </c>
      <c r="J255" s="4">
        <v>101.0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 t="s">
        <v>545</v>
      </c>
      <c r="B256" s="4" t="s">
        <v>546</v>
      </c>
      <c r="C256" s="4" t="s">
        <v>11</v>
      </c>
      <c r="D256" s="4" t="s">
        <v>12</v>
      </c>
      <c r="E256" s="4">
        <v>5.2156862745098</v>
      </c>
      <c r="F256" s="4">
        <v>1.10469252010148</v>
      </c>
      <c r="G256" s="4">
        <v>102.0</v>
      </c>
      <c r="H256" s="4">
        <v>3.48514851485149</v>
      </c>
      <c r="I256" s="4">
        <v>1.57869478612009</v>
      </c>
      <c r="J256" s="4">
        <v>101.0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 t="s">
        <v>547</v>
      </c>
      <c r="B257" s="4" t="s">
        <v>548</v>
      </c>
      <c r="C257" s="4" t="s">
        <v>25</v>
      </c>
      <c r="D257" s="4" t="s">
        <v>46</v>
      </c>
      <c r="E257" s="4">
        <v>3.71287128712871</v>
      </c>
      <c r="F257" s="4">
        <v>1.13434239683939</v>
      </c>
      <c r="G257" s="4">
        <v>101.0</v>
      </c>
      <c r="H257" s="4">
        <v>4.35922330097087</v>
      </c>
      <c r="I257" s="4">
        <v>1.6261006464524</v>
      </c>
      <c r="J257" s="4">
        <v>103.0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 t="s">
        <v>549</v>
      </c>
      <c r="B258" s="4" t="s">
        <v>550</v>
      </c>
      <c r="C258" s="4" t="s">
        <v>11</v>
      </c>
      <c r="D258" s="4" t="s">
        <v>12</v>
      </c>
      <c r="E258" s="4">
        <v>5.2156862745098</v>
      </c>
      <c r="F258" s="4">
        <v>0.874585627262252</v>
      </c>
      <c r="G258" s="4">
        <v>102.0</v>
      </c>
      <c r="H258" s="4">
        <v>2.98019801980198</v>
      </c>
      <c r="I258" s="4">
        <v>1.39269665052948</v>
      </c>
      <c r="J258" s="4">
        <v>101.0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 t="s">
        <v>551</v>
      </c>
      <c r="B259" s="4" t="s">
        <v>552</v>
      </c>
      <c r="C259" s="4" t="s">
        <v>25</v>
      </c>
      <c r="D259" s="4" t="s">
        <v>46</v>
      </c>
      <c r="E259" s="4">
        <v>3.72549019607843</v>
      </c>
      <c r="F259" s="4">
        <v>1.38704660057986</v>
      </c>
      <c r="G259" s="4">
        <v>102.0</v>
      </c>
      <c r="H259" s="4">
        <v>4.69306930693069</v>
      </c>
      <c r="I259" s="4">
        <v>1.64768063809359</v>
      </c>
      <c r="J259" s="4">
        <v>101.0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 t="s">
        <v>553</v>
      </c>
      <c r="B260" s="4" t="s">
        <v>554</v>
      </c>
      <c r="C260" s="4" t="s">
        <v>11</v>
      </c>
      <c r="D260" s="4" t="s">
        <v>12</v>
      </c>
      <c r="E260" s="4">
        <v>5.20792079207921</v>
      </c>
      <c r="F260" s="4">
        <v>1.35142022837582</v>
      </c>
      <c r="G260" s="4">
        <v>101.0</v>
      </c>
      <c r="H260" s="4">
        <v>4.92233009708738</v>
      </c>
      <c r="I260" s="4">
        <v>1.8078766680364</v>
      </c>
      <c r="J260" s="4">
        <v>103.0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555</v>
      </c>
      <c r="B261" s="4" t="s">
        <v>556</v>
      </c>
      <c r="C261" s="4" t="s">
        <v>15</v>
      </c>
      <c r="D261" s="4" t="s">
        <v>12</v>
      </c>
      <c r="E261" s="4">
        <v>3.73267326732673</v>
      </c>
      <c r="F261" s="4">
        <v>0.773189357258762</v>
      </c>
      <c r="G261" s="4">
        <v>101.0</v>
      </c>
      <c r="H261" s="4">
        <v>2.15533980582524</v>
      </c>
      <c r="I261" s="4">
        <v>1.4736727598106</v>
      </c>
      <c r="J261" s="4">
        <v>103.0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557</v>
      </c>
      <c r="B262" s="4" t="s">
        <v>558</v>
      </c>
      <c r="C262" s="4" t="s">
        <v>11</v>
      </c>
      <c r="D262" s="4" t="s">
        <v>12</v>
      </c>
      <c r="E262" s="4">
        <v>5.20588235294118</v>
      </c>
      <c r="F262" s="4">
        <v>1.69646245384602</v>
      </c>
      <c r="G262" s="4">
        <v>102.0</v>
      </c>
      <c r="H262" s="4">
        <v>4.76237623762376</v>
      </c>
      <c r="I262" s="4">
        <v>1.86627176398018</v>
      </c>
      <c r="J262" s="4">
        <v>101.0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559</v>
      </c>
      <c r="B263" s="4" t="s">
        <v>560</v>
      </c>
      <c r="C263" s="4" t="s">
        <v>11</v>
      </c>
      <c r="D263" s="4" t="s">
        <v>12</v>
      </c>
      <c r="E263" s="4">
        <v>5.1980198019802</v>
      </c>
      <c r="F263" s="4">
        <v>1.10471536587664</v>
      </c>
      <c r="G263" s="4">
        <v>101.0</v>
      </c>
      <c r="H263" s="4">
        <v>4.12621359223301</v>
      </c>
      <c r="I263" s="4">
        <v>1.64900214420059</v>
      </c>
      <c r="J263" s="4">
        <v>103.0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 t="s">
        <v>561</v>
      </c>
      <c r="B264" s="4" t="s">
        <v>562</v>
      </c>
      <c r="C264" s="4" t="s">
        <v>15</v>
      </c>
      <c r="D264" s="4" t="s">
        <v>12</v>
      </c>
      <c r="E264" s="4">
        <v>3.74509803921569</v>
      </c>
      <c r="F264" s="4">
        <v>0.804520329507078</v>
      </c>
      <c r="G264" s="4">
        <v>102.0</v>
      </c>
      <c r="H264" s="4">
        <v>1.86138613861386</v>
      </c>
      <c r="I264" s="4">
        <v>1.2730255533201</v>
      </c>
      <c r="J264" s="4">
        <v>101.0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 t="s">
        <v>563</v>
      </c>
      <c r="B265" s="4" t="s">
        <v>564</v>
      </c>
      <c r="C265" s="4" t="s">
        <v>39</v>
      </c>
      <c r="D265" s="4" t="s">
        <v>12</v>
      </c>
      <c r="E265" s="4">
        <v>3.75247524752475</v>
      </c>
      <c r="F265" s="4">
        <v>1.22805488960436</v>
      </c>
      <c r="G265" s="4">
        <v>101.0</v>
      </c>
      <c r="H265" s="4">
        <v>3.98058252427184</v>
      </c>
      <c r="I265" s="4">
        <v>1.6743777452562</v>
      </c>
      <c r="J265" s="4">
        <v>103.0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 t="s">
        <v>565</v>
      </c>
      <c r="B266" s="4" t="s">
        <v>566</v>
      </c>
      <c r="C266" s="4" t="s">
        <v>25</v>
      </c>
      <c r="D266" s="4" t="s">
        <v>12</v>
      </c>
      <c r="E266" s="4">
        <v>3.75925925925926</v>
      </c>
      <c r="F266" s="4">
        <v>1.45890991420441</v>
      </c>
      <c r="G266" s="4">
        <v>108.0</v>
      </c>
      <c r="H266" s="4">
        <v>4.11538461538461</v>
      </c>
      <c r="I266" s="4">
        <v>1.81850088856254</v>
      </c>
      <c r="J266" s="4">
        <v>104.0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 t="s">
        <v>567</v>
      </c>
      <c r="B267" s="4" t="s">
        <v>568</v>
      </c>
      <c r="C267" s="4" t="s">
        <v>11</v>
      </c>
      <c r="D267" s="4" t="s">
        <v>12</v>
      </c>
      <c r="E267" s="4">
        <v>5.19444444444444</v>
      </c>
      <c r="F267" s="4">
        <v>1.05421568785088</v>
      </c>
      <c r="G267" s="4">
        <v>108.0</v>
      </c>
      <c r="H267" s="4">
        <v>3.17307692307692</v>
      </c>
      <c r="I267" s="4">
        <v>1.70346481688789</v>
      </c>
      <c r="J267" s="4">
        <v>104.0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 t="s">
        <v>569</v>
      </c>
      <c r="B268" s="4" t="s">
        <v>570</v>
      </c>
      <c r="C268" s="4" t="s">
        <v>11</v>
      </c>
      <c r="D268" s="4" t="s">
        <v>46</v>
      </c>
      <c r="E268" s="4">
        <v>5.18627450980392</v>
      </c>
      <c r="F268" s="4">
        <v>0.930563463468149</v>
      </c>
      <c r="G268" s="4">
        <v>102.0</v>
      </c>
      <c r="H268" s="4">
        <v>4.83168316831683</v>
      </c>
      <c r="I268" s="4">
        <v>1.53015886058078</v>
      </c>
      <c r="J268" s="4">
        <v>101.0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 t="s">
        <v>571</v>
      </c>
      <c r="B269" s="4" t="s">
        <v>572</v>
      </c>
      <c r="C269" s="4" t="s">
        <v>15</v>
      </c>
      <c r="D269" s="4" t="s">
        <v>12</v>
      </c>
      <c r="E269" s="4">
        <v>3.77450980392157</v>
      </c>
      <c r="F269" s="4">
        <v>1.04271981318752</v>
      </c>
      <c r="G269" s="4">
        <v>102.0</v>
      </c>
      <c r="H269" s="4">
        <v>2.06930693069307</v>
      </c>
      <c r="I269" s="4">
        <v>1.43008689066486</v>
      </c>
      <c r="J269" s="4">
        <v>101.0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 t="s">
        <v>573</v>
      </c>
      <c r="B270" s="4" t="s">
        <v>574</v>
      </c>
      <c r="C270" s="4" t="s">
        <v>39</v>
      </c>
      <c r="D270" s="4" t="s">
        <v>12</v>
      </c>
      <c r="E270" s="4">
        <v>3.7843137254902</v>
      </c>
      <c r="F270" s="4">
        <v>1.27137137293891</v>
      </c>
      <c r="G270" s="4">
        <v>102.0</v>
      </c>
      <c r="H270" s="4">
        <v>3.16831683168317</v>
      </c>
      <c r="I270" s="4">
        <v>1.50379059001374</v>
      </c>
      <c r="J270" s="4">
        <v>101.0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 t="s">
        <v>575</v>
      </c>
      <c r="B271" s="4" t="s">
        <v>576</v>
      </c>
      <c r="C271" s="4" t="s">
        <v>25</v>
      </c>
      <c r="D271" s="4" t="s">
        <v>46</v>
      </c>
      <c r="E271" s="4">
        <v>3.79411764705882</v>
      </c>
      <c r="F271" s="4">
        <v>1.3667786460178</v>
      </c>
      <c r="G271" s="4">
        <v>102.0</v>
      </c>
      <c r="H271" s="4">
        <v>4.1980198019802</v>
      </c>
      <c r="I271" s="4">
        <v>1.61876373804331</v>
      </c>
      <c r="J271" s="4">
        <v>101.0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 t="s">
        <v>577</v>
      </c>
      <c r="B272" s="4" t="s">
        <v>578</v>
      </c>
      <c r="C272" s="4" t="s">
        <v>11</v>
      </c>
      <c r="D272" s="4" t="s">
        <v>12</v>
      </c>
      <c r="E272" s="4">
        <v>5.18518518518519</v>
      </c>
      <c r="F272" s="4">
        <v>1.5597037110684</v>
      </c>
      <c r="G272" s="4">
        <v>108.0</v>
      </c>
      <c r="H272" s="4">
        <v>4.91346153846154</v>
      </c>
      <c r="I272" s="4">
        <v>1.48199928542543</v>
      </c>
      <c r="J272" s="4">
        <v>104.0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 t="s">
        <v>579</v>
      </c>
      <c r="B273" s="4" t="s">
        <v>580</v>
      </c>
      <c r="C273" s="4" t="s">
        <v>15</v>
      </c>
      <c r="D273" s="4" t="s">
        <v>12</v>
      </c>
      <c r="E273" s="4">
        <v>3.80392156862745</v>
      </c>
      <c r="F273" s="4">
        <v>0.844776796184514</v>
      </c>
      <c r="G273" s="4">
        <v>102.0</v>
      </c>
      <c r="H273" s="4">
        <v>2.35643564356436</v>
      </c>
      <c r="I273" s="4">
        <v>1.48043343934026</v>
      </c>
      <c r="J273" s="4">
        <v>101.0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 t="s">
        <v>581</v>
      </c>
      <c r="B274" s="4" t="s">
        <v>582</v>
      </c>
      <c r="C274" s="4" t="s">
        <v>25</v>
      </c>
      <c r="D274" s="4" t="s">
        <v>12</v>
      </c>
      <c r="E274" s="4">
        <v>3.81188118811881</v>
      </c>
      <c r="F274" s="4">
        <v>1.22239822715127</v>
      </c>
      <c r="G274" s="4">
        <v>101.0</v>
      </c>
      <c r="H274" s="4">
        <v>4.33980582524272</v>
      </c>
      <c r="I274" s="4">
        <v>1.64229274251657</v>
      </c>
      <c r="J274" s="4">
        <v>103.0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 t="s">
        <v>583</v>
      </c>
      <c r="B275" s="4" t="s">
        <v>584</v>
      </c>
      <c r="C275" s="4" t="s">
        <v>25</v>
      </c>
      <c r="D275" s="4" t="s">
        <v>46</v>
      </c>
      <c r="E275" s="4">
        <v>3.81188118811881</v>
      </c>
      <c r="F275" s="4">
        <v>1.1892255571348</v>
      </c>
      <c r="G275" s="4">
        <v>101.0</v>
      </c>
      <c r="H275" s="4">
        <v>4.28155339805825</v>
      </c>
      <c r="I275" s="4">
        <v>1.65930221412706</v>
      </c>
      <c r="J275" s="4">
        <v>103.0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 t="s">
        <v>585</v>
      </c>
      <c r="B276" s="4" t="s">
        <v>586</v>
      </c>
      <c r="C276" s="4" t="s">
        <v>11</v>
      </c>
      <c r="D276" s="4" t="s">
        <v>12</v>
      </c>
      <c r="E276" s="4">
        <v>5.17821782178218</v>
      </c>
      <c r="F276" s="4">
        <v>1.32963182576201</v>
      </c>
      <c r="G276" s="4">
        <v>101.0</v>
      </c>
      <c r="H276" s="4">
        <v>4.69902912621359</v>
      </c>
      <c r="I276" s="4">
        <v>1.84090212037208</v>
      </c>
      <c r="J276" s="4">
        <v>103.0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 t="s">
        <v>587</v>
      </c>
      <c r="B277" s="4" t="s">
        <v>588</v>
      </c>
      <c r="C277" s="4" t="s">
        <v>11</v>
      </c>
      <c r="D277" s="4" t="s">
        <v>46</v>
      </c>
      <c r="E277" s="4">
        <v>5.17647058823529</v>
      </c>
      <c r="F277" s="4">
        <v>1.10275770168761</v>
      </c>
      <c r="G277" s="4">
        <v>102.0</v>
      </c>
      <c r="H277" s="4">
        <v>4.1980198019802</v>
      </c>
      <c r="I277" s="4">
        <v>1.57492731248269</v>
      </c>
      <c r="J277" s="4">
        <v>101.0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 t="s">
        <v>589</v>
      </c>
      <c r="B278" s="4" t="s">
        <v>590</v>
      </c>
      <c r="C278" s="4" t="s">
        <v>11</v>
      </c>
      <c r="D278" s="4" t="s">
        <v>591</v>
      </c>
      <c r="E278" s="4">
        <v>5.16666666666667</v>
      </c>
      <c r="F278" s="4">
        <v>1.32069088830136</v>
      </c>
      <c r="G278" s="4">
        <v>102.0</v>
      </c>
      <c r="H278" s="4">
        <v>5.05940594059406</v>
      </c>
      <c r="I278" s="4">
        <v>1.36983051636484</v>
      </c>
      <c r="J278" s="4">
        <v>101.0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 t="s">
        <v>592</v>
      </c>
      <c r="B279" s="4" t="s">
        <v>593</v>
      </c>
      <c r="C279" s="4" t="s">
        <v>15</v>
      </c>
      <c r="D279" s="4" t="s">
        <v>12</v>
      </c>
      <c r="E279" s="4">
        <v>3.83168316831683</v>
      </c>
      <c r="F279" s="4">
        <v>1.05895521086298</v>
      </c>
      <c r="G279" s="4">
        <v>101.0</v>
      </c>
      <c r="H279" s="4">
        <v>2.66990291262136</v>
      </c>
      <c r="I279" s="4">
        <v>1.67676362824085</v>
      </c>
      <c r="J279" s="4">
        <v>103.0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 t="s">
        <v>594</v>
      </c>
      <c r="B280" s="4" t="s">
        <v>595</v>
      </c>
      <c r="C280" s="4" t="s">
        <v>15</v>
      </c>
      <c r="D280" s="4" t="s">
        <v>12</v>
      </c>
      <c r="E280" s="4">
        <v>3.83333333333333</v>
      </c>
      <c r="F280" s="4">
        <v>0.856926736858662</v>
      </c>
      <c r="G280" s="4">
        <v>102.0</v>
      </c>
      <c r="H280" s="4">
        <v>2.36633663366337</v>
      </c>
      <c r="I280" s="4">
        <v>1.28625636851467</v>
      </c>
      <c r="J280" s="4">
        <v>101.0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 t="s">
        <v>596</v>
      </c>
      <c r="B281" s="4" t="s">
        <v>597</v>
      </c>
      <c r="C281" s="4" t="s">
        <v>15</v>
      </c>
      <c r="D281" s="4" t="s">
        <v>12</v>
      </c>
      <c r="E281" s="4">
        <v>3.85294117647059</v>
      </c>
      <c r="F281" s="4">
        <v>0.788494728644138</v>
      </c>
      <c r="G281" s="4">
        <v>102.0</v>
      </c>
      <c r="H281" s="4">
        <v>2.4950495049505</v>
      </c>
      <c r="I281" s="4">
        <v>1.39013497457073</v>
      </c>
      <c r="J281" s="4">
        <v>101.0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 t="s">
        <v>598</v>
      </c>
      <c r="B282" s="4" t="s">
        <v>599</v>
      </c>
      <c r="C282" s="4" t="s">
        <v>11</v>
      </c>
      <c r="D282" s="4" t="s">
        <v>12</v>
      </c>
      <c r="E282" s="4">
        <v>5.15686274509804</v>
      </c>
      <c r="F282" s="4">
        <v>1.11466460825459</v>
      </c>
      <c r="G282" s="4">
        <v>102.0</v>
      </c>
      <c r="H282" s="4">
        <v>3.84158415841584</v>
      </c>
      <c r="I282" s="4">
        <v>1.54746678973945</v>
      </c>
      <c r="J282" s="4">
        <v>101.0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 t="s">
        <v>600</v>
      </c>
      <c r="B283" s="4" t="s">
        <v>601</v>
      </c>
      <c r="C283" s="4" t="s">
        <v>11</v>
      </c>
      <c r="D283" s="4" t="s">
        <v>12</v>
      </c>
      <c r="E283" s="4">
        <v>5.14851485148515</v>
      </c>
      <c r="F283" s="4">
        <v>1.26796008307723</v>
      </c>
      <c r="G283" s="4">
        <v>101.0</v>
      </c>
      <c r="H283" s="4">
        <v>3.12621359223301</v>
      </c>
      <c r="I283" s="4">
        <v>1.58225212816047</v>
      </c>
      <c r="J283" s="4">
        <v>103.0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 t="s">
        <v>602</v>
      </c>
      <c r="B284" s="4" t="s">
        <v>603</v>
      </c>
      <c r="C284" s="4" t="s">
        <v>11</v>
      </c>
      <c r="D284" s="4" t="s">
        <v>46</v>
      </c>
      <c r="E284" s="4">
        <v>5.14814814814815</v>
      </c>
      <c r="F284" s="4">
        <v>1.04849527084637</v>
      </c>
      <c r="G284" s="4">
        <v>108.0</v>
      </c>
      <c r="H284" s="4">
        <v>2.625</v>
      </c>
      <c r="I284" s="4">
        <v>1.46272454918762</v>
      </c>
      <c r="J284" s="4">
        <v>104.0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 t="s">
        <v>604</v>
      </c>
      <c r="B285" s="4" t="s">
        <v>605</v>
      </c>
      <c r="C285" s="4" t="s">
        <v>25</v>
      </c>
      <c r="D285" s="4" t="s">
        <v>46</v>
      </c>
      <c r="E285" s="4">
        <v>3.88235294117647</v>
      </c>
      <c r="F285" s="4">
        <v>1.34454613526005</v>
      </c>
      <c r="G285" s="4">
        <v>102.0</v>
      </c>
      <c r="H285" s="4">
        <v>4.43564356435644</v>
      </c>
      <c r="I285" s="4">
        <v>1.77434969261506</v>
      </c>
      <c r="J285" s="4">
        <v>101.0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8" t="s">
        <v>606</v>
      </c>
      <c r="B286" s="19" t="s">
        <v>607</v>
      </c>
      <c r="C286" s="19" t="s">
        <v>11</v>
      </c>
      <c r="D286" s="19" t="s">
        <v>12</v>
      </c>
      <c r="E286" s="19">
        <v>5.14705882352941</v>
      </c>
      <c r="F286" s="19">
        <v>1.1292427921551</v>
      </c>
      <c r="G286" s="19">
        <v>102.0</v>
      </c>
      <c r="H286" s="19">
        <v>3.14851485148515</v>
      </c>
      <c r="I286" s="19">
        <v>1.38120337831806</v>
      </c>
      <c r="J286" s="19">
        <v>101.0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 t="s">
        <v>608</v>
      </c>
      <c r="B287" s="19" t="s">
        <v>609</v>
      </c>
      <c r="C287" s="19" t="s">
        <v>11</v>
      </c>
      <c r="D287" s="19" t="s">
        <v>12</v>
      </c>
      <c r="E287" s="19">
        <v>5.13725490196078</v>
      </c>
      <c r="F287" s="19">
        <v>1.15217586396799</v>
      </c>
      <c r="G287" s="19">
        <v>102.0</v>
      </c>
      <c r="H287" s="19">
        <v>3.67326732673267</v>
      </c>
      <c r="I287" s="19">
        <v>1.59442096631404</v>
      </c>
      <c r="J287" s="19">
        <v>101.0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" t="s">
        <v>610</v>
      </c>
      <c r="B288" s="4" t="s">
        <v>611</v>
      </c>
      <c r="C288" s="4" t="s">
        <v>25</v>
      </c>
      <c r="D288" s="4" t="s">
        <v>46</v>
      </c>
      <c r="E288" s="4">
        <v>3.89814814814815</v>
      </c>
      <c r="F288" s="4">
        <v>1.42697519979769</v>
      </c>
      <c r="G288" s="4">
        <v>108.0</v>
      </c>
      <c r="H288" s="4">
        <v>3.94230769230769</v>
      </c>
      <c r="I288" s="4">
        <v>1.73947276398318</v>
      </c>
      <c r="J288" s="4">
        <v>104.0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612</v>
      </c>
      <c r="B289" s="4" t="s">
        <v>613</v>
      </c>
      <c r="C289" s="4" t="s">
        <v>15</v>
      </c>
      <c r="D289" s="4" t="s">
        <v>46</v>
      </c>
      <c r="E289" s="4">
        <v>3.90196078431373</v>
      </c>
      <c r="F289" s="4">
        <v>1.3680209303127</v>
      </c>
      <c r="G289" s="4">
        <v>102.0</v>
      </c>
      <c r="H289" s="4">
        <v>3.74257425742574</v>
      </c>
      <c r="I289" s="4">
        <v>1.70677160362208</v>
      </c>
      <c r="J289" s="4">
        <v>101.0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614</v>
      </c>
      <c r="B290" s="4" t="s">
        <v>615</v>
      </c>
      <c r="C290" s="4" t="s">
        <v>25</v>
      </c>
      <c r="D290" s="4" t="s">
        <v>616</v>
      </c>
      <c r="E290" s="4">
        <v>3.90740740740741</v>
      </c>
      <c r="F290" s="4">
        <v>1.35023042019063</v>
      </c>
      <c r="G290" s="4">
        <v>108.0</v>
      </c>
      <c r="H290" s="4">
        <v>3.53846153846154</v>
      </c>
      <c r="I290" s="4">
        <v>1.68328779605022</v>
      </c>
      <c r="J290" s="4">
        <v>104.0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617</v>
      </c>
      <c r="B291" s="4" t="s">
        <v>618</v>
      </c>
      <c r="C291" s="4" t="s">
        <v>15</v>
      </c>
      <c r="D291" s="4" t="s">
        <v>12</v>
      </c>
      <c r="E291" s="4">
        <v>3.92079207920792</v>
      </c>
      <c r="F291" s="4">
        <v>1.09254902239517</v>
      </c>
      <c r="G291" s="4">
        <v>101.0</v>
      </c>
      <c r="H291" s="4">
        <v>2.87378640776699</v>
      </c>
      <c r="I291" s="4">
        <v>1.56981085191619</v>
      </c>
      <c r="J291" s="4">
        <v>103.0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619</v>
      </c>
      <c r="B292" s="4" t="s">
        <v>620</v>
      </c>
      <c r="C292" s="4" t="s">
        <v>15</v>
      </c>
      <c r="D292" s="4" t="s">
        <v>12</v>
      </c>
      <c r="E292" s="4">
        <v>3.92592592592593</v>
      </c>
      <c r="F292" s="4">
        <v>0.636927550622616</v>
      </c>
      <c r="G292" s="4">
        <v>108.0</v>
      </c>
      <c r="H292" s="4">
        <v>2.07692307692308</v>
      </c>
      <c r="I292" s="4">
        <v>1.39132058307896</v>
      </c>
      <c r="J292" s="4">
        <v>104.0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621</v>
      </c>
      <c r="B293" s="4" t="s">
        <v>622</v>
      </c>
      <c r="C293" s="4" t="s">
        <v>11</v>
      </c>
      <c r="D293" s="4" t="s">
        <v>46</v>
      </c>
      <c r="E293" s="4">
        <v>5.12962962962963</v>
      </c>
      <c r="F293" s="4">
        <v>1.697125621621</v>
      </c>
      <c r="G293" s="4">
        <v>108.0</v>
      </c>
      <c r="H293" s="4">
        <v>5.21153846153846</v>
      </c>
      <c r="I293" s="4">
        <v>1.5115932372868</v>
      </c>
      <c r="J293" s="4">
        <v>104.0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 t="s">
        <v>623</v>
      </c>
      <c r="B294" s="4" t="s">
        <v>624</v>
      </c>
      <c r="C294" s="4" t="s">
        <v>39</v>
      </c>
      <c r="D294" s="4" t="s">
        <v>12</v>
      </c>
      <c r="E294" s="4">
        <v>3.94444444444444</v>
      </c>
      <c r="F294" s="4">
        <v>1.56380397302335</v>
      </c>
      <c r="G294" s="4">
        <v>108.0</v>
      </c>
      <c r="H294" s="4">
        <v>4.41346153846154</v>
      </c>
      <c r="I294" s="4">
        <v>1.73267051822323</v>
      </c>
      <c r="J294" s="4">
        <v>104.0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 t="s">
        <v>625</v>
      </c>
      <c r="B295" s="4" t="s">
        <v>626</v>
      </c>
      <c r="C295" s="4" t="s">
        <v>11</v>
      </c>
      <c r="D295" s="4" t="s">
        <v>12</v>
      </c>
      <c r="E295" s="4">
        <v>5.12871287128713</v>
      </c>
      <c r="F295" s="4">
        <v>1.19719143278453</v>
      </c>
      <c r="G295" s="4">
        <v>101.0</v>
      </c>
      <c r="H295" s="4">
        <v>4.3495145631068</v>
      </c>
      <c r="I295" s="4">
        <v>1.74731580063215</v>
      </c>
      <c r="J295" s="4">
        <v>103.0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 t="s">
        <v>627</v>
      </c>
      <c r="B296" s="4" t="s">
        <v>628</v>
      </c>
      <c r="C296" s="4" t="s">
        <v>39</v>
      </c>
      <c r="D296" s="4" t="s">
        <v>12</v>
      </c>
      <c r="E296" s="4">
        <v>3.96039603960396</v>
      </c>
      <c r="F296" s="4">
        <v>1.32605272956401</v>
      </c>
      <c r="G296" s="4">
        <v>101.0</v>
      </c>
      <c r="H296" s="4">
        <v>4.67961165048544</v>
      </c>
      <c r="I296" s="4">
        <v>1.74453540212708</v>
      </c>
      <c r="J296" s="4">
        <v>103.0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 t="s">
        <v>629</v>
      </c>
      <c r="B297" s="4" t="s">
        <v>630</v>
      </c>
      <c r="C297" s="4" t="s">
        <v>11</v>
      </c>
      <c r="D297" s="4" t="s">
        <v>46</v>
      </c>
      <c r="E297" s="4">
        <v>5.12037037037037</v>
      </c>
      <c r="F297" s="4">
        <v>1.39904902676811</v>
      </c>
      <c r="G297" s="4">
        <v>108.0</v>
      </c>
      <c r="H297" s="4">
        <v>4.75</v>
      </c>
      <c r="I297" s="4">
        <v>1.62952134254978</v>
      </c>
      <c r="J297" s="4">
        <v>104.0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 t="s">
        <v>631</v>
      </c>
      <c r="B298" s="4" t="s">
        <v>632</v>
      </c>
      <c r="C298" s="4" t="s">
        <v>11</v>
      </c>
      <c r="D298" s="4" t="s">
        <v>633</v>
      </c>
      <c r="E298" s="4">
        <v>5.11111111111111</v>
      </c>
      <c r="F298" s="4">
        <v>1.36260699371266</v>
      </c>
      <c r="G298" s="4">
        <v>108.0</v>
      </c>
      <c r="H298" s="4">
        <v>4.35576923076923</v>
      </c>
      <c r="I298" s="4">
        <v>1.68326006638395</v>
      </c>
      <c r="J298" s="4">
        <v>104.0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 t="s">
        <v>634</v>
      </c>
      <c r="B299" s="4" t="s">
        <v>635</v>
      </c>
      <c r="C299" s="4" t="s">
        <v>39</v>
      </c>
      <c r="D299" s="4" t="s">
        <v>636</v>
      </c>
      <c r="E299" s="4">
        <v>3.96296296296296</v>
      </c>
      <c r="F299" s="4">
        <v>0.668740284945431</v>
      </c>
      <c r="G299" s="4">
        <v>108.0</v>
      </c>
      <c r="H299" s="4">
        <v>2.31730769230769</v>
      </c>
      <c r="I299" s="4">
        <v>1.59650360133213</v>
      </c>
      <c r="J299" s="4">
        <v>104.0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 t="s">
        <v>637</v>
      </c>
      <c r="B300" s="4" t="s">
        <v>638</v>
      </c>
      <c r="C300" s="4" t="s">
        <v>39</v>
      </c>
      <c r="D300" s="4" t="s">
        <v>12</v>
      </c>
      <c r="E300" s="4">
        <v>3.97058823529412</v>
      </c>
      <c r="F300" s="4">
        <v>1.11209268750532</v>
      </c>
      <c r="G300" s="4">
        <v>102.0</v>
      </c>
      <c r="H300" s="4">
        <v>2.67326732673267</v>
      </c>
      <c r="I300" s="4">
        <v>1.40789851119382</v>
      </c>
      <c r="J300" s="4">
        <v>101.0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 t="s">
        <v>639</v>
      </c>
      <c r="B301" s="4" t="s">
        <v>640</v>
      </c>
      <c r="C301" s="4" t="s">
        <v>11</v>
      </c>
      <c r="D301" s="4" t="s">
        <v>46</v>
      </c>
      <c r="E301" s="4">
        <v>5.10891089108911</v>
      </c>
      <c r="F301" s="4">
        <v>1.05736455491008</v>
      </c>
      <c r="G301" s="4">
        <v>101.0</v>
      </c>
      <c r="H301" s="4">
        <v>4.0873786407767</v>
      </c>
      <c r="I301" s="4">
        <v>1.63962451534003</v>
      </c>
      <c r="J301" s="4">
        <v>103.0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 t="s">
        <v>641</v>
      </c>
      <c r="B302" s="4" t="s">
        <v>642</v>
      </c>
      <c r="C302" s="4" t="s">
        <v>39</v>
      </c>
      <c r="D302" s="4" t="s">
        <v>12</v>
      </c>
      <c r="E302" s="4">
        <v>3.99009900990099</v>
      </c>
      <c r="F302" s="4">
        <v>1.29224648968338</v>
      </c>
      <c r="G302" s="4">
        <v>101.0</v>
      </c>
      <c r="H302" s="4">
        <v>4.21359223300971</v>
      </c>
      <c r="I302" s="4">
        <v>1.93345411439943</v>
      </c>
      <c r="J302" s="4">
        <v>103.0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 t="s">
        <v>643</v>
      </c>
      <c r="B303" s="4" t="s">
        <v>644</v>
      </c>
      <c r="C303" s="4" t="s">
        <v>15</v>
      </c>
      <c r="D303" s="4" t="s">
        <v>12</v>
      </c>
      <c r="E303" s="4">
        <v>3.99009900990099</v>
      </c>
      <c r="F303" s="4">
        <v>1.05351838621782</v>
      </c>
      <c r="G303" s="4">
        <v>101.0</v>
      </c>
      <c r="H303" s="4">
        <v>3.47572815533981</v>
      </c>
      <c r="I303" s="4">
        <v>1.66182429992083</v>
      </c>
      <c r="J303" s="4">
        <v>103.0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 t="s">
        <v>645</v>
      </c>
      <c r="B304" s="4" t="s">
        <v>646</v>
      </c>
      <c r="C304" s="4" t="s">
        <v>15</v>
      </c>
      <c r="D304" s="4" t="s">
        <v>12</v>
      </c>
      <c r="E304" s="4">
        <v>3.99009900990099</v>
      </c>
      <c r="F304" s="4">
        <v>0.479479916262412</v>
      </c>
      <c r="G304" s="4">
        <v>101.0</v>
      </c>
      <c r="H304" s="4">
        <v>1.84466019417476</v>
      </c>
      <c r="I304" s="4">
        <v>1.31921903184733</v>
      </c>
      <c r="J304" s="4">
        <v>103.0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 t="s">
        <v>647</v>
      </c>
      <c r="B305" s="4" t="s">
        <v>648</v>
      </c>
      <c r="C305" s="4" t="s">
        <v>15</v>
      </c>
      <c r="D305" s="4" t="s">
        <v>12</v>
      </c>
      <c r="E305" s="4">
        <v>3.99009900990099</v>
      </c>
      <c r="F305" s="4">
        <v>0.499900980294108</v>
      </c>
      <c r="G305" s="4">
        <v>101.0</v>
      </c>
      <c r="H305" s="4">
        <v>1.83495145631068</v>
      </c>
      <c r="I305" s="4">
        <v>1.30682287515645</v>
      </c>
      <c r="J305" s="4">
        <v>103.0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8" t="s">
        <v>649</v>
      </c>
      <c r="B306" s="19" t="s">
        <v>650</v>
      </c>
      <c r="C306" s="19" t="s">
        <v>11</v>
      </c>
      <c r="D306" s="19" t="s">
        <v>12</v>
      </c>
      <c r="E306" s="19">
        <v>5.1078431372549</v>
      </c>
      <c r="F306" s="19">
        <v>1.01383364918499</v>
      </c>
      <c r="G306" s="19">
        <v>102.0</v>
      </c>
      <c r="H306" s="19">
        <v>3.37623762376238</v>
      </c>
      <c r="I306" s="19">
        <v>1.59907151277555</v>
      </c>
      <c r="J306" s="19">
        <v>101.0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" t="s">
        <v>651</v>
      </c>
      <c r="B307" s="4" t="s">
        <v>652</v>
      </c>
      <c r="C307" s="4" t="s">
        <v>11</v>
      </c>
      <c r="D307" s="4" t="s">
        <v>46</v>
      </c>
      <c r="E307" s="4">
        <v>5.09803921568627</v>
      </c>
      <c r="F307" s="4">
        <v>1.1214365250138</v>
      </c>
      <c r="G307" s="4">
        <v>102.0</v>
      </c>
      <c r="H307" s="4">
        <v>4.22772277227723</v>
      </c>
      <c r="I307" s="4">
        <v>1.66662046140573</v>
      </c>
      <c r="J307" s="4">
        <v>101.0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 t="s">
        <v>653</v>
      </c>
      <c r="B308" s="4" t="s">
        <v>654</v>
      </c>
      <c r="C308" s="4" t="s">
        <v>15</v>
      </c>
      <c r="D308" s="4" t="s">
        <v>12</v>
      </c>
      <c r="E308" s="4">
        <v>3.99019607843137</v>
      </c>
      <c r="F308" s="4">
        <v>0.455876873233141</v>
      </c>
      <c r="G308" s="4">
        <v>102.0</v>
      </c>
      <c r="H308" s="4">
        <v>2.0</v>
      </c>
      <c r="I308" s="4">
        <v>1.34164078649987</v>
      </c>
      <c r="J308" s="4">
        <v>101.0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 t="s">
        <v>655</v>
      </c>
      <c r="B309" s="4" t="s">
        <v>656</v>
      </c>
      <c r="C309" s="4" t="s">
        <v>11</v>
      </c>
      <c r="D309" s="4" t="s">
        <v>12</v>
      </c>
      <c r="E309" s="4">
        <v>5.08910891089109</v>
      </c>
      <c r="F309" s="4">
        <v>1.51062245383147</v>
      </c>
      <c r="G309" s="4">
        <v>101.0</v>
      </c>
      <c r="H309" s="4">
        <v>4.10679611650485</v>
      </c>
      <c r="I309" s="4">
        <v>1.68565238059929</v>
      </c>
      <c r="J309" s="4">
        <v>103.0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 t="s">
        <v>657</v>
      </c>
      <c r="B310" s="4" t="s">
        <v>658</v>
      </c>
      <c r="C310" s="4" t="s">
        <v>11</v>
      </c>
      <c r="D310" s="4" t="s">
        <v>12</v>
      </c>
      <c r="E310" s="4">
        <v>5.08910891089109</v>
      </c>
      <c r="F310" s="4">
        <v>1.09634857505257</v>
      </c>
      <c r="G310" s="4">
        <v>101.0</v>
      </c>
      <c r="H310" s="4">
        <v>3.39805825242718</v>
      </c>
      <c r="I310" s="4">
        <v>1.72262798451783</v>
      </c>
      <c r="J310" s="4">
        <v>103.0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 t="s">
        <v>659</v>
      </c>
      <c r="B311" s="4" t="s">
        <v>660</v>
      </c>
      <c r="C311" s="4" t="s">
        <v>39</v>
      </c>
      <c r="D311" s="4" t="s">
        <v>12</v>
      </c>
      <c r="E311" s="4">
        <v>4.0</v>
      </c>
      <c r="F311" s="4">
        <v>1.39424719244647</v>
      </c>
      <c r="G311" s="4">
        <v>108.0</v>
      </c>
      <c r="H311" s="4">
        <v>3.26923076923077</v>
      </c>
      <c r="I311" s="4">
        <v>1.79119079136838</v>
      </c>
      <c r="J311" s="4">
        <v>104.0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 t="s">
        <v>661</v>
      </c>
      <c r="B312" s="4" t="s">
        <v>662</v>
      </c>
      <c r="C312" s="4" t="s">
        <v>39</v>
      </c>
      <c r="D312" s="4" t="s">
        <v>12</v>
      </c>
      <c r="E312" s="4">
        <v>4.0</v>
      </c>
      <c r="F312" s="4">
        <v>0.808372034730701</v>
      </c>
      <c r="G312" s="4">
        <v>102.0</v>
      </c>
      <c r="H312" s="4">
        <v>1.91089108910891</v>
      </c>
      <c r="I312" s="4">
        <v>1.20912373147656</v>
      </c>
      <c r="J312" s="4">
        <v>101.0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 t="s">
        <v>663</v>
      </c>
      <c r="B313" s="4" t="s">
        <v>664</v>
      </c>
      <c r="C313" s="4" t="s">
        <v>11</v>
      </c>
      <c r="D313" s="4" t="s">
        <v>12</v>
      </c>
      <c r="E313" s="4">
        <v>5.08823529411765</v>
      </c>
      <c r="F313" s="4">
        <v>1.35780064720631</v>
      </c>
      <c r="G313" s="4">
        <v>102.0</v>
      </c>
      <c r="H313" s="4">
        <v>4.95049504950495</v>
      </c>
      <c r="I313" s="4">
        <v>1.73997837701371</v>
      </c>
      <c r="J313" s="4">
        <v>101.0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 t="s">
        <v>665</v>
      </c>
      <c r="B314" s="4" t="s">
        <v>666</v>
      </c>
      <c r="C314" s="4" t="s">
        <v>15</v>
      </c>
      <c r="D314" s="4" t="s">
        <v>12</v>
      </c>
      <c r="E314" s="4">
        <v>4.00925925925926</v>
      </c>
      <c r="F314" s="4">
        <v>0.587969265684951</v>
      </c>
      <c r="G314" s="4">
        <v>108.0</v>
      </c>
      <c r="H314" s="4">
        <v>2.06730769230769</v>
      </c>
      <c r="I314" s="4">
        <v>1.47644563402501</v>
      </c>
      <c r="J314" s="4">
        <v>104.0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 t="s">
        <v>667</v>
      </c>
      <c r="B315" s="4" t="s">
        <v>668</v>
      </c>
      <c r="C315" s="4" t="s">
        <v>11</v>
      </c>
      <c r="D315" s="4" t="s">
        <v>12</v>
      </c>
      <c r="E315" s="4">
        <v>5.08823529411765</v>
      </c>
      <c r="F315" s="4">
        <v>1.02544789708355</v>
      </c>
      <c r="G315" s="4">
        <v>102.0</v>
      </c>
      <c r="H315" s="4">
        <v>3.57425742574257</v>
      </c>
      <c r="I315" s="4">
        <v>1.53848324432517</v>
      </c>
      <c r="J315" s="4">
        <v>101.0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 t="s">
        <v>669</v>
      </c>
      <c r="B316" s="4" t="s">
        <v>670</v>
      </c>
      <c r="C316" s="4" t="s">
        <v>15</v>
      </c>
      <c r="D316" s="4" t="s">
        <v>12</v>
      </c>
      <c r="E316" s="4">
        <v>4.00990099009901</v>
      </c>
      <c r="F316" s="4">
        <v>0.670746591567195</v>
      </c>
      <c r="G316" s="4">
        <v>101.0</v>
      </c>
      <c r="H316" s="4">
        <v>2.25242718446602</v>
      </c>
      <c r="I316" s="4">
        <v>1.39127848244855</v>
      </c>
      <c r="J316" s="4">
        <v>103.0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 t="s">
        <v>671</v>
      </c>
      <c r="B317" s="4" t="s">
        <v>672</v>
      </c>
      <c r="C317" s="4" t="s">
        <v>11</v>
      </c>
      <c r="D317" s="4" t="s">
        <v>12</v>
      </c>
      <c r="E317" s="4">
        <v>5.07920792079208</v>
      </c>
      <c r="F317" s="4">
        <v>1.2544573991717</v>
      </c>
      <c r="G317" s="4">
        <v>101.0</v>
      </c>
      <c r="H317" s="4">
        <v>5.04854368932039</v>
      </c>
      <c r="I317" s="4">
        <v>1.71714903242063</v>
      </c>
      <c r="J317" s="4">
        <v>103.0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 t="s">
        <v>673</v>
      </c>
      <c r="B318" s="4" t="s">
        <v>674</v>
      </c>
      <c r="C318" s="4" t="s">
        <v>15</v>
      </c>
      <c r="D318" s="4" t="s">
        <v>12</v>
      </c>
      <c r="E318" s="4">
        <v>4.01851851851852</v>
      </c>
      <c r="F318" s="4">
        <v>0.431937202979103</v>
      </c>
      <c r="G318" s="4">
        <v>108.0</v>
      </c>
      <c r="H318" s="4">
        <v>1.98076923076923</v>
      </c>
      <c r="I318" s="4">
        <v>1.37226882666491</v>
      </c>
      <c r="J318" s="4">
        <v>104.0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 t="s">
        <v>675</v>
      </c>
      <c r="B319" s="4" t="s">
        <v>676</v>
      </c>
      <c r="C319" s="4" t="s">
        <v>15</v>
      </c>
      <c r="D319" s="4" t="s">
        <v>12</v>
      </c>
      <c r="E319" s="4">
        <v>4.01960784313725</v>
      </c>
      <c r="F319" s="4">
        <v>0.744356884446584</v>
      </c>
      <c r="G319" s="4">
        <v>102.0</v>
      </c>
      <c r="H319" s="4">
        <v>2.01980198019802</v>
      </c>
      <c r="I319" s="4">
        <v>1.31894046885977</v>
      </c>
      <c r="J319" s="4">
        <v>101.0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 t="s">
        <v>677</v>
      </c>
      <c r="B320" s="4" t="s">
        <v>678</v>
      </c>
      <c r="C320" s="4" t="s">
        <v>15</v>
      </c>
      <c r="D320" s="4" t="s">
        <v>679</v>
      </c>
      <c r="E320" s="4">
        <v>4.01980198019802</v>
      </c>
      <c r="F320" s="4">
        <v>0.916299056201653</v>
      </c>
      <c r="G320" s="4">
        <v>101.0</v>
      </c>
      <c r="H320" s="4">
        <v>2.99029126213592</v>
      </c>
      <c r="I320" s="4">
        <v>1.72919082079649</v>
      </c>
      <c r="J320" s="4">
        <v>103.0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 t="s">
        <v>680</v>
      </c>
      <c r="B321" s="4" t="s">
        <v>681</v>
      </c>
      <c r="C321" s="4" t="s">
        <v>15</v>
      </c>
      <c r="D321" s="4" t="s">
        <v>12</v>
      </c>
      <c r="E321" s="4">
        <v>4.01980198019802</v>
      </c>
      <c r="F321" s="4">
        <v>0.423797074548704</v>
      </c>
      <c r="G321" s="4">
        <v>101.0</v>
      </c>
      <c r="H321" s="4">
        <v>2.00970873786408</v>
      </c>
      <c r="I321" s="4">
        <v>1.33941123757951</v>
      </c>
      <c r="J321" s="4">
        <v>103.0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 t="s">
        <v>682</v>
      </c>
      <c r="B322" s="4" t="s">
        <v>683</v>
      </c>
      <c r="C322" s="4" t="s">
        <v>25</v>
      </c>
      <c r="D322" s="4" t="s">
        <v>684</v>
      </c>
      <c r="E322" s="4">
        <v>4.02941176470588</v>
      </c>
      <c r="F322" s="4">
        <v>1.3159785904616</v>
      </c>
      <c r="G322" s="4">
        <v>102.0</v>
      </c>
      <c r="H322" s="4">
        <v>3.72277227722772</v>
      </c>
      <c r="I322" s="4">
        <v>1.68593482603088</v>
      </c>
      <c r="J322" s="4">
        <v>101.0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 t="s">
        <v>685</v>
      </c>
      <c r="B323" s="4" t="s">
        <v>686</v>
      </c>
      <c r="C323" s="4" t="s">
        <v>39</v>
      </c>
      <c r="D323" s="4" t="s">
        <v>12</v>
      </c>
      <c r="E323" s="4">
        <v>4.02941176470588</v>
      </c>
      <c r="F323" s="4">
        <v>1.23043807986224</v>
      </c>
      <c r="G323" s="4">
        <v>102.0</v>
      </c>
      <c r="H323" s="4">
        <v>2.76237623762376</v>
      </c>
      <c r="I323" s="4">
        <v>1.56300041491668</v>
      </c>
      <c r="J323" s="4">
        <v>101.0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 t="s">
        <v>687</v>
      </c>
      <c r="B324" s="4" t="s">
        <v>688</v>
      </c>
      <c r="C324" s="4" t="s">
        <v>15</v>
      </c>
      <c r="D324" s="4" t="s">
        <v>12</v>
      </c>
      <c r="E324" s="4">
        <v>4.02941176470588</v>
      </c>
      <c r="F324" s="4">
        <v>0.496639845060589</v>
      </c>
      <c r="G324" s="4">
        <v>102.0</v>
      </c>
      <c r="H324" s="4">
        <v>1.69306930693069</v>
      </c>
      <c r="I324" s="4">
        <v>1.23889123217033</v>
      </c>
      <c r="J324" s="4">
        <v>101.0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 t="s">
        <v>689</v>
      </c>
      <c r="B325" s="4" t="s">
        <v>690</v>
      </c>
      <c r="C325" s="4" t="s">
        <v>15</v>
      </c>
      <c r="D325" s="4" t="s">
        <v>12</v>
      </c>
      <c r="E325" s="4">
        <v>4.02970297029703</v>
      </c>
      <c r="F325" s="4">
        <v>0.655064050983634</v>
      </c>
      <c r="G325" s="4">
        <v>101.0</v>
      </c>
      <c r="H325" s="4">
        <v>2.36893203883495</v>
      </c>
      <c r="I325" s="4">
        <v>1.54024629595359</v>
      </c>
      <c r="J325" s="4">
        <v>103.0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 t="s">
        <v>691</v>
      </c>
      <c r="B326" s="4" t="s">
        <v>692</v>
      </c>
      <c r="C326" s="4" t="s">
        <v>15</v>
      </c>
      <c r="D326" s="4" t="s">
        <v>12</v>
      </c>
      <c r="E326" s="4">
        <v>4.03703703703704</v>
      </c>
      <c r="F326" s="4">
        <v>0.863874405958206</v>
      </c>
      <c r="G326" s="4">
        <v>108.0</v>
      </c>
      <c r="H326" s="4">
        <v>2.06730769230769</v>
      </c>
      <c r="I326" s="4">
        <v>1.43644939202973</v>
      </c>
      <c r="J326" s="4">
        <v>104.0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 t="s">
        <v>693</v>
      </c>
      <c r="B327" s="4" t="s">
        <v>694</v>
      </c>
      <c r="C327" s="4" t="s">
        <v>15</v>
      </c>
      <c r="D327" s="4" t="s">
        <v>12</v>
      </c>
      <c r="E327" s="4">
        <v>4.03703703703704</v>
      </c>
      <c r="F327" s="4">
        <v>0.43073347410927</v>
      </c>
      <c r="G327" s="4">
        <v>108.0</v>
      </c>
      <c r="H327" s="4">
        <v>1.88461538461538</v>
      </c>
      <c r="I327" s="4">
        <v>1.2718589125187</v>
      </c>
      <c r="J327" s="4">
        <v>104.0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 t="s">
        <v>695</v>
      </c>
      <c r="B328" s="4" t="s">
        <v>696</v>
      </c>
      <c r="C328" s="4" t="s">
        <v>39</v>
      </c>
      <c r="D328" s="4" t="s">
        <v>12</v>
      </c>
      <c r="E328" s="4">
        <v>4.04901960784314</v>
      </c>
      <c r="F328" s="4">
        <v>0.926800639487425</v>
      </c>
      <c r="G328" s="4">
        <v>102.0</v>
      </c>
      <c r="H328" s="4">
        <v>2.23762376237624</v>
      </c>
      <c r="I328" s="4">
        <v>1.30497904083924</v>
      </c>
      <c r="J328" s="4">
        <v>101.0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 t="s">
        <v>697</v>
      </c>
      <c r="B329" s="4" t="s">
        <v>698</v>
      </c>
      <c r="C329" s="4" t="s">
        <v>15</v>
      </c>
      <c r="D329" s="4" t="s">
        <v>12</v>
      </c>
      <c r="E329" s="4">
        <v>4.04901960784314</v>
      </c>
      <c r="F329" s="4">
        <v>0.474653620040621</v>
      </c>
      <c r="G329" s="4">
        <v>102.0</v>
      </c>
      <c r="H329" s="4">
        <v>1.84158415841584</v>
      </c>
      <c r="I329" s="4">
        <v>1.27069015316344</v>
      </c>
      <c r="J329" s="4">
        <v>101.0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 t="s">
        <v>699</v>
      </c>
      <c r="B330" s="4" t="s">
        <v>700</v>
      </c>
      <c r="C330" s="4" t="s">
        <v>15</v>
      </c>
      <c r="D330" s="4" t="s">
        <v>12</v>
      </c>
      <c r="E330" s="4">
        <v>4.04950495049505</v>
      </c>
      <c r="F330" s="4">
        <v>0.384089511019564</v>
      </c>
      <c r="G330" s="4">
        <v>101.0</v>
      </c>
      <c r="H330" s="4">
        <v>1.92233009708738</v>
      </c>
      <c r="I330" s="4">
        <v>1.38400753984933</v>
      </c>
      <c r="J330" s="4">
        <v>103.0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 t="s">
        <v>701</v>
      </c>
      <c r="B331" s="4" t="s">
        <v>702</v>
      </c>
      <c r="C331" s="4" t="s">
        <v>39</v>
      </c>
      <c r="D331" s="4" t="s">
        <v>12</v>
      </c>
      <c r="E331" s="4">
        <v>4.05555555555556</v>
      </c>
      <c r="F331" s="4">
        <v>1.58752928199256</v>
      </c>
      <c r="G331" s="4">
        <v>108.0</v>
      </c>
      <c r="H331" s="4">
        <v>4.72115384615385</v>
      </c>
      <c r="I331" s="4">
        <v>1.60978036715277</v>
      </c>
      <c r="J331" s="4">
        <v>104.0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 t="s">
        <v>703</v>
      </c>
      <c r="B332" s="4" t="s">
        <v>704</v>
      </c>
      <c r="C332" s="4" t="s">
        <v>11</v>
      </c>
      <c r="D332" s="4" t="s">
        <v>705</v>
      </c>
      <c r="E332" s="4">
        <v>5.06862745098039</v>
      </c>
      <c r="F332" s="4">
        <v>1.29170854636173</v>
      </c>
      <c r="G332" s="4">
        <v>102.0</v>
      </c>
      <c r="H332" s="4">
        <v>5.21782178217822</v>
      </c>
      <c r="I332" s="4">
        <v>1.22966629941655</v>
      </c>
      <c r="J332" s="4">
        <v>101.0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 t="s">
        <v>706</v>
      </c>
      <c r="B333" s="4" t="s">
        <v>707</v>
      </c>
      <c r="C333" s="4" t="s">
        <v>15</v>
      </c>
      <c r="D333" s="4" t="s">
        <v>12</v>
      </c>
      <c r="E333" s="4">
        <v>4.05555555555556</v>
      </c>
      <c r="F333" s="4">
        <v>0.638826806320399</v>
      </c>
      <c r="G333" s="4">
        <v>108.0</v>
      </c>
      <c r="H333" s="4">
        <v>1.86538461538462</v>
      </c>
      <c r="I333" s="4">
        <v>1.29268060695814</v>
      </c>
      <c r="J333" s="4">
        <v>104.0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 t="s">
        <v>708</v>
      </c>
      <c r="B334" s="4" t="s">
        <v>709</v>
      </c>
      <c r="C334" s="4" t="s">
        <v>15</v>
      </c>
      <c r="D334" s="4" t="s">
        <v>12</v>
      </c>
      <c r="E334" s="4">
        <v>4.05882352941176</v>
      </c>
      <c r="F334" s="4">
        <v>0.52319523667414</v>
      </c>
      <c r="G334" s="4">
        <v>102.0</v>
      </c>
      <c r="H334" s="4">
        <v>1.86138613861386</v>
      </c>
      <c r="I334" s="4">
        <v>1.24923739113346</v>
      </c>
      <c r="J334" s="4">
        <v>101.0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 t="s">
        <v>710</v>
      </c>
      <c r="B335" s="4" t="s">
        <v>711</v>
      </c>
      <c r="C335" s="4" t="s">
        <v>15</v>
      </c>
      <c r="D335" s="4" t="s">
        <v>12</v>
      </c>
      <c r="E335" s="4">
        <v>4.05882352941176</v>
      </c>
      <c r="F335" s="4">
        <v>0.462954981703891</v>
      </c>
      <c r="G335" s="4">
        <v>102.0</v>
      </c>
      <c r="H335" s="4">
        <v>1.81188118811881</v>
      </c>
      <c r="I335" s="4">
        <v>1.30163644146227</v>
      </c>
      <c r="J335" s="4">
        <v>101.0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 t="s">
        <v>712</v>
      </c>
      <c r="B336" s="4" t="s">
        <v>713</v>
      </c>
      <c r="C336" s="4" t="s">
        <v>15</v>
      </c>
      <c r="D336" s="4" t="s">
        <v>12</v>
      </c>
      <c r="E336" s="4">
        <v>4.05940594059406</v>
      </c>
      <c r="F336" s="4">
        <v>0.341226674755003</v>
      </c>
      <c r="G336" s="4">
        <v>101.0</v>
      </c>
      <c r="H336" s="4">
        <v>2.12621359223301</v>
      </c>
      <c r="I336" s="4">
        <v>1.39803511730757</v>
      </c>
      <c r="J336" s="4">
        <v>103.0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 t="s">
        <v>714</v>
      </c>
      <c r="B337" s="4" t="s">
        <v>715</v>
      </c>
      <c r="C337" s="4" t="s">
        <v>15</v>
      </c>
      <c r="D337" s="4" t="s">
        <v>12</v>
      </c>
      <c r="E337" s="4">
        <v>4.06481481481481</v>
      </c>
      <c r="F337" s="4">
        <v>0.878328362885714</v>
      </c>
      <c r="G337" s="4">
        <v>108.0</v>
      </c>
      <c r="H337" s="4">
        <v>2.10576923076923</v>
      </c>
      <c r="I337" s="4">
        <v>1.37888564287668</v>
      </c>
      <c r="J337" s="4">
        <v>104.0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1" t="s">
        <v>716</v>
      </c>
      <c r="B338" s="22" t="s">
        <v>717</v>
      </c>
      <c r="C338" s="22" t="s">
        <v>25</v>
      </c>
      <c r="D338" s="22" t="s">
        <v>46</v>
      </c>
      <c r="E338" s="22">
        <v>4.06862745098039</v>
      </c>
      <c r="F338" s="22">
        <v>1.276286413133</v>
      </c>
      <c r="G338" s="22">
        <v>102.0</v>
      </c>
      <c r="H338" s="22">
        <v>4.44554455445545</v>
      </c>
      <c r="I338" s="22">
        <v>1.72322515954679</v>
      </c>
      <c r="J338" s="22">
        <v>101.0</v>
      </c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" t="s">
        <v>718</v>
      </c>
      <c r="B339" s="4" t="s">
        <v>719</v>
      </c>
      <c r="C339" s="4" t="s">
        <v>15</v>
      </c>
      <c r="D339" s="4" t="s">
        <v>12</v>
      </c>
      <c r="E339" s="4">
        <v>4.06930693069307</v>
      </c>
      <c r="F339" s="4">
        <v>0.495124746757305</v>
      </c>
      <c r="G339" s="4">
        <v>101.0</v>
      </c>
      <c r="H339" s="4">
        <v>2.07766990291262</v>
      </c>
      <c r="I339" s="4">
        <v>1.42587654766579</v>
      </c>
      <c r="J339" s="4">
        <v>103.0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 t="s">
        <v>720</v>
      </c>
      <c r="B340" s="4" t="s">
        <v>721</v>
      </c>
      <c r="C340" s="4" t="s">
        <v>15</v>
      </c>
      <c r="D340" s="4" t="s">
        <v>12</v>
      </c>
      <c r="E340" s="4">
        <v>4.07843137254902</v>
      </c>
      <c r="F340" s="4">
        <v>0.591796635357012</v>
      </c>
      <c r="G340" s="4">
        <v>102.0</v>
      </c>
      <c r="H340" s="4">
        <v>1.8019801980198</v>
      </c>
      <c r="I340" s="4">
        <v>1.23304340540143</v>
      </c>
      <c r="J340" s="4">
        <v>101.0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 t="s">
        <v>722</v>
      </c>
      <c r="B341" s="4" t="s">
        <v>723</v>
      </c>
      <c r="C341" s="4" t="s">
        <v>11</v>
      </c>
      <c r="D341" s="4" t="s">
        <v>12</v>
      </c>
      <c r="E341" s="4">
        <v>5.05940594059406</v>
      </c>
      <c r="F341" s="4">
        <v>1.00818433015216</v>
      </c>
      <c r="G341" s="4">
        <v>101.0</v>
      </c>
      <c r="H341" s="4">
        <v>3.62135922330097</v>
      </c>
      <c r="I341" s="4">
        <v>1.60340633025119</v>
      </c>
      <c r="J341" s="4">
        <v>103.0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 t="s">
        <v>724</v>
      </c>
      <c r="B342" s="4" t="s">
        <v>725</v>
      </c>
      <c r="C342" s="4" t="s">
        <v>15</v>
      </c>
      <c r="D342" s="4" t="s">
        <v>12</v>
      </c>
      <c r="E342" s="4">
        <v>4.08910891089109</v>
      </c>
      <c r="F342" s="4">
        <v>0.511840012132504</v>
      </c>
      <c r="G342" s="4">
        <v>101.0</v>
      </c>
      <c r="H342" s="4">
        <v>1.93203883495146</v>
      </c>
      <c r="I342" s="4">
        <v>1.42980963988924</v>
      </c>
      <c r="J342" s="4">
        <v>103.0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 t="s">
        <v>726</v>
      </c>
      <c r="B343" s="4" t="s">
        <v>727</v>
      </c>
      <c r="C343" s="4" t="s">
        <v>15</v>
      </c>
      <c r="D343" s="4" t="s">
        <v>12</v>
      </c>
      <c r="E343" s="4">
        <v>4.08910891089109</v>
      </c>
      <c r="F343" s="4">
        <v>0.491914828013755</v>
      </c>
      <c r="G343" s="4">
        <v>101.0</v>
      </c>
      <c r="H343" s="4">
        <v>1.87378640776699</v>
      </c>
      <c r="I343" s="4">
        <v>1.47315595363662</v>
      </c>
      <c r="J343" s="4">
        <v>103.0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 t="s">
        <v>728</v>
      </c>
      <c r="B344" s="4" t="s">
        <v>729</v>
      </c>
      <c r="C344" s="4" t="s">
        <v>15</v>
      </c>
      <c r="D344" s="4" t="s">
        <v>12</v>
      </c>
      <c r="E344" s="4">
        <v>4.08910891089109</v>
      </c>
      <c r="F344" s="4">
        <v>0.511840012132504</v>
      </c>
      <c r="G344" s="4">
        <v>101.0</v>
      </c>
      <c r="H344" s="4">
        <v>1.84466019417476</v>
      </c>
      <c r="I344" s="4">
        <v>1.25836247118633</v>
      </c>
      <c r="J344" s="4">
        <v>103.0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 t="s">
        <v>730</v>
      </c>
      <c r="B345" s="4" t="s">
        <v>731</v>
      </c>
      <c r="C345" s="4" t="s">
        <v>11</v>
      </c>
      <c r="D345" s="4" t="s">
        <v>12</v>
      </c>
      <c r="E345" s="4">
        <v>5.05882352941176</v>
      </c>
      <c r="F345" s="4">
        <v>1.02274653917834</v>
      </c>
      <c r="G345" s="4">
        <v>102.0</v>
      </c>
      <c r="H345" s="4">
        <v>3.01980198019802</v>
      </c>
      <c r="I345" s="4">
        <v>1.54259649954097</v>
      </c>
      <c r="J345" s="4">
        <v>101.0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 t="s">
        <v>732</v>
      </c>
      <c r="B346" s="4" t="s">
        <v>733</v>
      </c>
      <c r="C346" s="4" t="s">
        <v>15</v>
      </c>
      <c r="D346" s="4" t="s">
        <v>12</v>
      </c>
      <c r="E346" s="4">
        <v>4.09803921568627</v>
      </c>
      <c r="F346" s="4">
        <v>0.738070858729912</v>
      </c>
      <c r="G346" s="4">
        <v>102.0</v>
      </c>
      <c r="H346" s="4">
        <v>2.18811881188119</v>
      </c>
      <c r="I346" s="4">
        <v>1.39077583590691</v>
      </c>
      <c r="J346" s="4">
        <v>101.0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 t="s">
        <v>734</v>
      </c>
      <c r="B347" s="4" t="s">
        <v>735</v>
      </c>
      <c r="C347" s="4" t="s">
        <v>39</v>
      </c>
      <c r="D347" s="4" t="s">
        <v>12</v>
      </c>
      <c r="E347" s="4">
        <v>4.1078431372549</v>
      </c>
      <c r="F347" s="4">
        <v>1.35637010300971</v>
      </c>
      <c r="G347" s="4">
        <v>102.0</v>
      </c>
      <c r="H347" s="4">
        <v>3.48514851485149</v>
      </c>
      <c r="I347" s="4">
        <v>1.68293708370895</v>
      </c>
      <c r="J347" s="4">
        <v>101.0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 t="s">
        <v>736</v>
      </c>
      <c r="B348" s="4" t="s">
        <v>737</v>
      </c>
      <c r="C348" s="4" t="s">
        <v>15</v>
      </c>
      <c r="D348" s="4" t="s">
        <v>12</v>
      </c>
      <c r="E348" s="4">
        <v>4.10891089108911</v>
      </c>
      <c r="F348" s="4">
        <v>0.614833149708275</v>
      </c>
      <c r="G348" s="4">
        <v>101.0</v>
      </c>
      <c r="H348" s="4">
        <v>2.36893203883495</v>
      </c>
      <c r="I348" s="4">
        <v>1.57797519341157</v>
      </c>
      <c r="J348" s="4">
        <v>103.0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 t="s">
        <v>738</v>
      </c>
      <c r="B349" s="4" t="s">
        <v>739</v>
      </c>
      <c r="C349" s="4" t="s">
        <v>15</v>
      </c>
      <c r="D349" s="4" t="s">
        <v>12</v>
      </c>
      <c r="E349" s="4">
        <v>4.10891089108911</v>
      </c>
      <c r="F349" s="4">
        <v>0.444994159489985</v>
      </c>
      <c r="G349" s="4">
        <v>101.0</v>
      </c>
      <c r="H349" s="4">
        <v>2.16504854368932</v>
      </c>
      <c r="I349" s="4">
        <v>1.40095966673437</v>
      </c>
      <c r="J349" s="4">
        <v>103.0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 t="s">
        <v>740</v>
      </c>
      <c r="B350" s="4" t="s">
        <v>741</v>
      </c>
      <c r="C350" s="4" t="s">
        <v>15</v>
      </c>
      <c r="D350" s="4" t="s">
        <v>12</v>
      </c>
      <c r="E350" s="4">
        <v>4.12037037037037</v>
      </c>
      <c r="F350" s="4">
        <v>0.817079282036065</v>
      </c>
      <c r="G350" s="4">
        <v>108.0</v>
      </c>
      <c r="H350" s="4">
        <v>2.28846153846154</v>
      </c>
      <c r="I350" s="4">
        <v>1.62906296804211</v>
      </c>
      <c r="J350" s="4">
        <v>104.0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 t="s">
        <v>742</v>
      </c>
      <c r="B351" s="4" t="s">
        <v>743</v>
      </c>
      <c r="C351" s="4" t="s">
        <v>25</v>
      </c>
      <c r="D351" s="4" t="s">
        <v>744</v>
      </c>
      <c r="E351" s="4">
        <v>4.12745098039216</v>
      </c>
      <c r="F351" s="4">
        <v>1.19960033466143</v>
      </c>
      <c r="G351" s="4">
        <v>102.0</v>
      </c>
      <c r="H351" s="4">
        <v>4.05940594059406</v>
      </c>
      <c r="I351" s="4">
        <v>1.74253712831732</v>
      </c>
      <c r="J351" s="4">
        <v>101.0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 t="s">
        <v>745</v>
      </c>
      <c r="B352" s="4" t="s">
        <v>746</v>
      </c>
      <c r="C352" s="4" t="s">
        <v>15</v>
      </c>
      <c r="D352" s="4" t="s">
        <v>12</v>
      </c>
      <c r="E352" s="4">
        <v>4.12745098039216</v>
      </c>
      <c r="F352" s="4">
        <v>0.608057589564304</v>
      </c>
      <c r="G352" s="4">
        <v>102.0</v>
      </c>
      <c r="H352" s="4">
        <v>1.81188118811881</v>
      </c>
      <c r="I352" s="4">
        <v>1.24669861062832</v>
      </c>
      <c r="J352" s="4">
        <v>101.0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4" t="s">
        <v>747</v>
      </c>
      <c r="B353" s="25" t="s">
        <v>748</v>
      </c>
      <c r="C353" s="25" t="s">
        <v>39</v>
      </c>
      <c r="D353" s="25" t="s">
        <v>46</v>
      </c>
      <c r="E353" s="25">
        <v>4.12962962962963</v>
      </c>
      <c r="F353" s="25">
        <v>0.843807487817605</v>
      </c>
      <c r="G353" s="25">
        <v>108.0</v>
      </c>
      <c r="H353" s="25">
        <v>2.25</v>
      </c>
      <c r="I353" s="25">
        <v>1.39868176495286</v>
      </c>
      <c r="J353" s="25">
        <v>104.0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" t="s">
        <v>749</v>
      </c>
      <c r="B354" s="4" t="s">
        <v>750</v>
      </c>
      <c r="C354" s="4" t="s">
        <v>39</v>
      </c>
      <c r="D354" s="4" t="s">
        <v>12</v>
      </c>
      <c r="E354" s="4">
        <v>4.13861386138614</v>
      </c>
      <c r="F354" s="4">
        <v>0.566210260774158</v>
      </c>
      <c r="G354" s="4">
        <v>101.0</v>
      </c>
      <c r="H354" s="4">
        <v>2.03883495145631</v>
      </c>
      <c r="I354" s="4">
        <v>1.3714335572326</v>
      </c>
      <c r="J354" s="4">
        <v>103.0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 t="s">
        <v>751</v>
      </c>
      <c r="B355" s="4" t="s">
        <v>752</v>
      </c>
      <c r="C355" s="4" t="s">
        <v>15</v>
      </c>
      <c r="D355" s="4" t="s">
        <v>12</v>
      </c>
      <c r="E355" s="4">
        <v>4.13888888888889</v>
      </c>
      <c r="F355" s="4">
        <v>0.618383985800151</v>
      </c>
      <c r="G355" s="4">
        <v>108.0</v>
      </c>
      <c r="H355" s="4">
        <v>2.20192307692308</v>
      </c>
      <c r="I355" s="4">
        <v>1.33932172148332</v>
      </c>
      <c r="J355" s="4">
        <v>104.0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 t="s">
        <v>753</v>
      </c>
      <c r="B356" s="4" t="s">
        <v>754</v>
      </c>
      <c r="C356" s="4" t="s">
        <v>39</v>
      </c>
      <c r="D356" s="4" t="s">
        <v>46</v>
      </c>
      <c r="E356" s="4">
        <v>4.14705882352941</v>
      </c>
      <c r="F356" s="4">
        <v>1.1379768292159</v>
      </c>
      <c r="G356" s="4">
        <v>102.0</v>
      </c>
      <c r="H356" s="4">
        <v>3.47524752475248</v>
      </c>
      <c r="I356" s="4">
        <v>1.72970552063605</v>
      </c>
      <c r="J356" s="4">
        <v>101.0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 t="s">
        <v>755</v>
      </c>
      <c r="B357" s="4" t="s">
        <v>756</v>
      </c>
      <c r="C357" s="4" t="s">
        <v>15</v>
      </c>
      <c r="D357" s="4" t="s">
        <v>12</v>
      </c>
      <c r="E357" s="4">
        <v>4.14851485148515</v>
      </c>
      <c r="F357" s="4">
        <v>0.433269860799511</v>
      </c>
      <c r="G357" s="4">
        <v>101.0</v>
      </c>
      <c r="H357" s="4">
        <v>2.0873786407767</v>
      </c>
      <c r="I357" s="4">
        <v>1.40800788291928</v>
      </c>
      <c r="J357" s="4">
        <v>103.0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 t="s">
        <v>757</v>
      </c>
      <c r="B358" s="4" t="s">
        <v>758</v>
      </c>
      <c r="C358" s="4" t="s">
        <v>15</v>
      </c>
      <c r="D358" s="4" t="s">
        <v>12</v>
      </c>
      <c r="E358" s="4">
        <v>4.15686274509804</v>
      </c>
      <c r="F358" s="4">
        <v>0.714005547295417</v>
      </c>
      <c r="G358" s="4">
        <v>102.0</v>
      </c>
      <c r="H358" s="4">
        <v>1.81188118811881</v>
      </c>
      <c r="I358" s="4">
        <v>1.22239822715127</v>
      </c>
      <c r="J358" s="4">
        <v>101.0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 t="s">
        <v>759</v>
      </c>
      <c r="B359" s="4" t="s">
        <v>760</v>
      </c>
      <c r="C359" s="4" t="s">
        <v>39</v>
      </c>
      <c r="D359" s="4" t="s">
        <v>12</v>
      </c>
      <c r="E359" s="4">
        <v>4.15740740740741</v>
      </c>
      <c r="F359" s="4">
        <v>1.39533292203298</v>
      </c>
      <c r="G359" s="4">
        <v>108.0</v>
      </c>
      <c r="H359" s="4">
        <v>4.01923076923077</v>
      </c>
      <c r="I359" s="4">
        <v>1.68362051642165</v>
      </c>
      <c r="J359" s="4">
        <v>104.0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 t="s">
        <v>761</v>
      </c>
      <c r="B360" s="4" t="s">
        <v>762</v>
      </c>
      <c r="C360" s="4" t="s">
        <v>15</v>
      </c>
      <c r="D360" s="4" t="s">
        <v>12</v>
      </c>
      <c r="E360" s="4">
        <v>4.15841584158416</v>
      </c>
      <c r="F360" s="4">
        <v>0.484410430674789</v>
      </c>
      <c r="G360" s="4">
        <v>101.0</v>
      </c>
      <c r="H360" s="4">
        <v>1.86407766990291</v>
      </c>
      <c r="I360" s="4">
        <v>1.4283443293968</v>
      </c>
      <c r="J360" s="4">
        <v>103.0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 t="s">
        <v>763</v>
      </c>
      <c r="B361" s="4" t="s">
        <v>764</v>
      </c>
      <c r="C361" s="4" t="s">
        <v>15</v>
      </c>
      <c r="D361" s="4" t="s">
        <v>12</v>
      </c>
      <c r="E361" s="4">
        <v>4.16666666666667</v>
      </c>
      <c r="F361" s="4">
        <v>0.952125021241836</v>
      </c>
      <c r="G361" s="4">
        <v>108.0</v>
      </c>
      <c r="H361" s="4">
        <v>2.34615384615385</v>
      </c>
      <c r="I361" s="4">
        <v>1.3848643042371</v>
      </c>
      <c r="J361" s="4">
        <v>104.0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 t="s">
        <v>765</v>
      </c>
      <c r="B362" s="4" t="s">
        <v>766</v>
      </c>
      <c r="C362" s="4" t="s">
        <v>15</v>
      </c>
      <c r="D362" s="4" t="s">
        <v>12</v>
      </c>
      <c r="E362" s="4">
        <v>4.16666666666667</v>
      </c>
      <c r="F362" s="4">
        <v>0.75888575606548</v>
      </c>
      <c r="G362" s="4">
        <v>102.0</v>
      </c>
      <c r="H362" s="4">
        <v>2.14851485148515</v>
      </c>
      <c r="I362" s="4">
        <v>1.45179983891624</v>
      </c>
      <c r="J362" s="4">
        <v>101.0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 t="s">
        <v>767</v>
      </c>
      <c r="B363" s="4" t="s">
        <v>768</v>
      </c>
      <c r="C363" s="4" t="s">
        <v>15</v>
      </c>
      <c r="D363" s="4" t="s">
        <v>12</v>
      </c>
      <c r="E363" s="4">
        <v>4.17647058823529</v>
      </c>
      <c r="F363" s="4">
        <v>0.801134896811242</v>
      </c>
      <c r="G363" s="4">
        <v>102.0</v>
      </c>
      <c r="H363" s="4">
        <v>2.15841584158416</v>
      </c>
      <c r="I363" s="4">
        <v>1.34709074131869</v>
      </c>
      <c r="J363" s="4">
        <v>101.0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 t="s">
        <v>769</v>
      </c>
      <c r="B364" s="4" t="s">
        <v>770</v>
      </c>
      <c r="C364" s="4" t="s">
        <v>15</v>
      </c>
      <c r="D364" s="4" t="s">
        <v>12</v>
      </c>
      <c r="E364" s="4">
        <v>4.19607843137255</v>
      </c>
      <c r="F364" s="4">
        <v>0.718072442996927</v>
      </c>
      <c r="G364" s="4">
        <v>102.0</v>
      </c>
      <c r="H364" s="4">
        <v>2.32673267326733</v>
      </c>
      <c r="I364" s="4">
        <v>1.32747060902371</v>
      </c>
      <c r="J364" s="4">
        <v>101.0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 t="s">
        <v>771</v>
      </c>
      <c r="B365" s="4" t="s">
        <v>772</v>
      </c>
      <c r="C365" s="4" t="s">
        <v>39</v>
      </c>
      <c r="D365" s="4" t="s">
        <v>12</v>
      </c>
      <c r="E365" s="4">
        <v>4.1980198019802</v>
      </c>
      <c r="F365" s="4">
        <v>1.69717295512389</v>
      </c>
      <c r="G365" s="4">
        <v>101.0</v>
      </c>
      <c r="H365" s="4">
        <v>4.68932038834951</v>
      </c>
      <c r="I365" s="4">
        <v>1.88923226555331</v>
      </c>
      <c r="J365" s="4">
        <v>103.0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 t="s">
        <v>773</v>
      </c>
      <c r="B366" s="4" t="s">
        <v>774</v>
      </c>
      <c r="C366" s="4" t="s">
        <v>15</v>
      </c>
      <c r="D366" s="4" t="s">
        <v>12</v>
      </c>
      <c r="E366" s="4">
        <v>4.1980198019802</v>
      </c>
      <c r="F366" s="4">
        <v>0.616762547179999</v>
      </c>
      <c r="G366" s="4">
        <v>101.0</v>
      </c>
      <c r="H366" s="4">
        <v>2.05825242718447</v>
      </c>
      <c r="I366" s="4">
        <v>1.37787306053567</v>
      </c>
      <c r="J366" s="4">
        <v>103.0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 t="s">
        <v>775</v>
      </c>
      <c r="B367" s="4" t="s">
        <v>776</v>
      </c>
      <c r="C367" s="4" t="s">
        <v>11</v>
      </c>
      <c r="D367" s="4" t="s">
        <v>46</v>
      </c>
      <c r="E367" s="4">
        <v>5.05555555555556</v>
      </c>
      <c r="F367" s="4">
        <v>1.19838936562834</v>
      </c>
      <c r="G367" s="4">
        <v>108.0</v>
      </c>
      <c r="H367" s="4">
        <v>4.34615384615385</v>
      </c>
      <c r="I367" s="4">
        <v>1.78868737883633</v>
      </c>
      <c r="J367" s="4">
        <v>104.0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 t="s">
        <v>777</v>
      </c>
      <c r="B368" s="4" t="s">
        <v>778</v>
      </c>
      <c r="C368" s="4" t="s">
        <v>15</v>
      </c>
      <c r="D368" s="4" t="s">
        <v>12</v>
      </c>
      <c r="E368" s="4">
        <v>4.2037037037037</v>
      </c>
      <c r="F368" s="4">
        <v>0.5071315569563</v>
      </c>
      <c r="G368" s="4">
        <v>108.0</v>
      </c>
      <c r="H368" s="4">
        <v>1.98076923076923</v>
      </c>
      <c r="I368" s="4">
        <v>1.3144511884475</v>
      </c>
      <c r="J368" s="4">
        <v>104.0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 t="s">
        <v>779</v>
      </c>
      <c r="B369" s="4" t="s">
        <v>780</v>
      </c>
      <c r="C369" s="4" t="s">
        <v>15</v>
      </c>
      <c r="D369" s="4" t="s">
        <v>12</v>
      </c>
      <c r="E369" s="4">
        <v>4.2037037037037</v>
      </c>
      <c r="F369" s="4">
        <v>0.559693829174542</v>
      </c>
      <c r="G369" s="4">
        <v>108.0</v>
      </c>
      <c r="H369" s="4">
        <v>1.90384615384615</v>
      </c>
      <c r="I369" s="4">
        <v>1.3547416245563</v>
      </c>
      <c r="J369" s="4">
        <v>104.0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 t="s">
        <v>781</v>
      </c>
      <c r="B370" s="4" t="s">
        <v>782</v>
      </c>
      <c r="C370" s="4" t="s">
        <v>15</v>
      </c>
      <c r="D370" s="4" t="s">
        <v>12</v>
      </c>
      <c r="E370" s="4">
        <v>4.20588235294118</v>
      </c>
      <c r="F370" s="4">
        <v>0.694222769252683</v>
      </c>
      <c r="G370" s="4">
        <v>102.0</v>
      </c>
      <c r="H370" s="4">
        <v>1.85148514851485</v>
      </c>
      <c r="I370" s="4">
        <v>1.24407506697837</v>
      </c>
      <c r="J370" s="4">
        <v>101.0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 t="s">
        <v>783</v>
      </c>
      <c r="B371" s="4" t="s">
        <v>784</v>
      </c>
      <c r="C371" s="4" t="s">
        <v>15</v>
      </c>
      <c r="D371" s="4" t="s">
        <v>12</v>
      </c>
      <c r="E371" s="4">
        <v>4.20792079207921</v>
      </c>
      <c r="F371" s="4">
        <v>0.571258814954628</v>
      </c>
      <c r="G371" s="4">
        <v>101.0</v>
      </c>
      <c r="H371" s="4">
        <v>2.46601941747573</v>
      </c>
      <c r="I371" s="4">
        <v>1.49387989372445</v>
      </c>
      <c r="J371" s="4">
        <v>103.0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1" t="s">
        <v>785</v>
      </c>
      <c r="B372" s="22" t="s">
        <v>786</v>
      </c>
      <c r="C372" s="22" t="s">
        <v>25</v>
      </c>
      <c r="D372" s="22" t="s">
        <v>12</v>
      </c>
      <c r="E372" s="22">
        <v>4.2156862745098</v>
      </c>
      <c r="F372" s="22">
        <v>1.53911026747706</v>
      </c>
      <c r="G372" s="22">
        <v>102.0</v>
      </c>
      <c r="H372" s="22">
        <v>4.30693069306931</v>
      </c>
      <c r="I372" s="22">
        <v>1.56679656788893</v>
      </c>
      <c r="J372" s="22">
        <v>101.0</v>
      </c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" t="s">
        <v>787</v>
      </c>
      <c r="B373" s="4" t="s">
        <v>788</v>
      </c>
      <c r="C373" s="4" t="s">
        <v>15</v>
      </c>
      <c r="D373" s="4" t="s">
        <v>12</v>
      </c>
      <c r="E373" s="4">
        <v>4.21782178217822</v>
      </c>
      <c r="F373" s="4">
        <v>0.558640499714076</v>
      </c>
      <c r="G373" s="4">
        <v>101.0</v>
      </c>
      <c r="H373" s="4">
        <v>2.30097087378641</v>
      </c>
      <c r="I373" s="4">
        <v>1.49400731982556</v>
      </c>
      <c r="J373" s="4">
        <v>103.0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 t="s">
        <v>789</v>
      </c>
      <c r="B374" s="4" t="s">
        <v>790</v>
      </c>
      <c r="C374" s="4" t="s">
        <v>11</v>
      </c>
      <c r="D374" s="4" t="s">
        <v>12</v>
      </c>
      <c r="E374" s="4">
        <v>5.0462962962963</v>
      </c>
      <c r="F374" s="4">
        <v>1.69322045232541</v>
      </c>
      <c r="G374" s="4">
        <v>108.0</v>
      </c>
      <c r="H374" s="4">
        <v>5.17307692307692</v>
      </c>
      <c r="I374" s="4">
        <v>1.46441484183166</v>
      </c>
      <c r="J374" s="4">
        <v>104.0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 t="s">
        <v>791</v>
      </c>
      <c r="B375" s="4" t="s">
        <v>792</v>
      </c>
      <c r="C375" s="4" t="s">
        <v>15</v>
      </c>
      <c r="D375" s="4" t="s">
        <v>12</v>
      </c>
      <c r="E375" s="4">
        <v>4.22222222222222</v>
      </c>
      <c r="F375" s="4">
        <v>0.714775088255933</v>
      </c>
      <c r="G375" s="4">
        <v>108.0</v>
      </c>
      <c r="H375" s="4">
        <v>1.98076923076923</v>
      </c>
      <c r="I375" s="4">
        <v>1.24620409454377</v>
      </c>
      <c r="J375" s="4">
        <v>104.0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 t="s">
        <v>793</v>
      </c>
      <c r="B376" s="4" t="s">
        <v>794</v>
      </c>
      <c r="C376" s="4" t="s">
        <v>15</v>
      </c>
      <c r="D376" s="4" t="s">
        <v>12</v>
      </c>
      <c r="E376" s="4">
        <v>4.23529411764706</v>
      </c>
      <c r="F376" s="4">
        <v>0.733585668099032</v>
      </c>
      <c r="G376" s="4">
        <v>102.0</v>
      </c>
      <c r="H376" s="4">
        <v>1.82178217821782</v>
      </c>
      <c r="I376" s="4">
        <v>1.19495639756403</v>
      </c>
      <c r="J376" s="4">
        <v>101.0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 t="s">
        <v>795</v>
      </c>
      <c r="B377" s="4" t="s">
        <v>796</v>
      </c>
      <c r="C377" s="4" t="s">
        <v>15</v>
      </c>
      <c r="D377" s="4" t="s">
        <v>12</v>
      </c>
      <c r="E377" s="4">
        <v>4.23762376237624</v>
      </c>
      <c r="F377" s="4">
        <v>0.763524915788413</v>
      </c>
      <c r="G377" s="4">
        <v>101.0</v>
      </c>
      <c r="H377" s="4">
        <v>2.71844660194175</v>
      </c>
      <c r="I377" s="4">
        <v>1.60524554183205</v>
      </c>
      <c r="J377" s="4">
        <v>103.0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 t="s">
        <v>797</v>
      </c>
      <c r="B378" s="4" t="s">
        <v>798</v>
      </c>
      <c r="C378" s="4" t="s">
        <v>15</v>
      </c>
      <c r="D378" s="4" t="s">
        <v>12</v>
      </c>
      <c r="E378" s="4">
        <v>4.23762376237624</v>
      </c>
      <c r="F378" s="4">
        <v>0.736865182397501</v>
      </c>
      <c r="G378" s="4">
        <v>101.0</v>
      </c>
      <c r="H378" s="4">
        <v>2.24271844660194</v>
      </c>
      <c r="I378" s="4">
        <v>1.50467258778151</v>
      </c>
      <c r="J378" s="4">
        <v>103.0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 t="s">
        <v>799</v>
      </c>
      <c r="B379" s="4" t="s">
        <v>800</v>
      </c>
      <c r="C379" s="4" t="s">
        <v>11</v>
      </c>
      <c r="D379" s="4" t="s">
        <v>12</v>
      </c>
      <c r="E379" s="4">
        <v>5.02970297029703</v>
      </c>
      <c r="F379" s="4">
        <v>1.0531423982022</v>
      </c>
      <c r="G379" s="4">
        <v>101.0</v>
      </c>
      <c r="H379" s="4">
        <v>3.22330097087379</v>
      </c>
      <c r="I379" s="4">
        <v>1.51419453016946</v>
      </c>
      <c r="J379" s="4">
        <v>103.0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 t="s">
        <v>801</v>
      </c>
      <c r="B380" s="4" t="s">
        <v>802</v>
      </c>
      <c r="C380" s="4" t="s">
        <v>15</v>
      </c>
      <c r="D380" s="4" t="s">
        <v>12</v>
      </c>
      <c r="E380" s="4">
        <v>4.24509803921569</v>
      </c>
      <c r="F380" s="4">
        <v>0.666545319959921</v>
      </c>
      <c r="G380" s="4">
        <v>102.0</v>
      </c>
      <c r="H380" s="4">
        <v>2.34653465346535</v>
      </c>
      <c r="I380" s="4">
        <v>1.39596306229324</v>
      </c>
      <c r="J380" s="4">
        <v>101.0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 t="s">
        <v>803</v>
      </c>
      <c r="B381" s="4" t="s">
        <v>804</v>
      </c>
      <c r="C381" s="4" t="s">
        <v>11</v>
      </c>
      <c r="D381" s="4" t="s">
        <v>12</v>
      </c>
      <c r="E381" s="4">
        <v>5.01851851851852</v>
      </c>
      <c r="F381" s="4">
        <v>1.03202442810944</v>
      </c>
      <c r="G381" s="4">
        <v>108.0</v>
      </c>
      <c r="H381" s="4">
        <v>2.98076923076923</v>
      </c>
      <c r="I381" s="4">
        <v>1.55782253579304</v>
      </c>
      <c r="J381" s="4">
        <v>104.0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 t="s">
        <v>805</v>
      </c>
      <c r="B382" s="4" t="s">
        <v>806</v>
      </c>
      <c r="C382" s="4" t="s">
        <v>15</v>
      </c>
      <c r="D382" s="4" t="s">
        <v>12</v>
      </c>
      <c r="E382" s="4">
        <v>4.25</v>
      </c>
      <c r="F382" s="4">
        <v>1.13668644522857</v>
      </c>
      <c r="G382" s="4">
        <v>108.0</v>
      </c>
      <c r="H382" s="4">
        <v>3.0</v>
      </c>
      <c r="I382" s="4">
        <v>1.70094205765368</v>
      </c>
      <c r="J382" s="4">
        <v>104.0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 t="s">
        <v>807</v>
      </c>
      <c r="B383" s="4" t="s">
        <v>808</v>
      </c>
      <c r="C383" s="4" t="s">
        <v>39</v>
      </c>
      <c r="D383" s="4" t="s">
        <v>46</v>
      </c>
      <c r="E383" s="4">
        <v>4.25742574257426</v>
      </c>
      <c r="F383" s="4">
        <v>1.38313748663345</v>
      </c>
      <c r="G383" s="4">
        <v>101.0</v>
      </c>
      <c r="H383" s="4">
        <v>4.62135922330097</v>
      </c>
      <c r="I383" s="4">
        <v>1.69842201766394</v>
      </c>
      <c r="J383" s="4">
        <v>103.0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7" t="s">
        <v>809</v>
      </c>
      <c r="B384" s="28" t="s">
        <v>810</v>
      </c>
      <c r="C384" s="28" t="s">
        <v>15</v>
      </c>
      <c r="D384" s="28" t="s">
        <v>12</v>
      </c>
      <c r="E384" s="28">
        <v>4.25742574257426</v>
      </c>
      <c r="F384" s="28">
        <v>0.687800339437757</v>
      </c>
      <c r="G384" s="28">
        <v>101.0</v>
      </c>
      <c r="H384" s="28">
        <v>2.20388349514563</v>
      </c>
      <c r="I384" s="28">
        <v>1.38166724592081</v>
      </c>
      <c r="J384" s="28">
        <v>103.0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" t="s">
        <v>811</v>
      </c>
      <c r="B385" s="4" t="s">
        <v>812</v>
      </c>
      <c r="C385" s="4" t="s">
        <v>11</v>
      </c>
      <c r="D385" s="4" t="s">
        <v>46</v>
      </c>
      <c r="E385" s="4">
        <v>5.0</v>
      </c>
      <c r="F385" s="4">
        <v>1.24096736459909</v>
      </c>
      <c r="G385" s="4">
        <v>101.0</v>
      </c>
      <c r="H385" s="4">
        <v>4.39805825242718</v>
      </c>
      <c r="I385" s="4">
        <v>1.84889901433281</v>
      </c>
      <c r="J385" s="4">
        <v>103.0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 t="s">
        <v>813</v>
      </c>
      <c r="B386" s="4" t="s">
        <v>814</v>
      </c>
      <c r="C386" s="4" t="s">
        <v>15</v>
      </c>
      <c r="D386" s="4" t="s">
        <v>12</v>
      </c>
      <c r="E386" s="4">
        <v>4.25925925925926</v>
      </c>
      <c r="F386" s="4">
        <v>0.857843093623741</v>
      </c>
      <c r="G386" s="4">
        <v>108.0</v>
      </c>
      <c r="H386" s="4">
        <v>2.11538461538462</v>
      </c>
      <c r="I386" s="4">
        <v>1.45687317989085</v>
      </c>
      <c r="J386" s="4">
        <v>104.0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 t="s">
        <v>815</v>
      </c>
      <c r="B387" s="4" t="s">
        <v>816</v>
      </c>
      <c r="C387" s="4" t="s">
        <v>39</v>
      </c>
      <c r="D387" s="4" t="s">
        <v>12</v>
      </c>
      <c r="E387" s="4">
        <v>4.26470588235294</v>
      </c>
      <c r="F387" s="4">
        <v>1.11627448439867</v>
      </c>
      <c r="G387" s="4">
        <v>102.0</v>
      </c>
      <c r="H387" s="4">
        <v>2.95049504950495</v>
      </c>
      <c r="I387" s="4">
        <v>1.58981909426049</v>
      </c>
      <c r="J387" s="4">
        <v>101.0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 t="s">
        <v>817</v>
      </c>
      <c r="B388" s="4" t="s">
        <v>818</v>
      </c>
      <c r="C388" s="4" t="s">
        <v>15</v>
      </c>
      <c r="D388" s="4" t="s">
        <v>12</v>
      </c>
      <c r="E388" s="4">
        <v>4.27722772277228</v>
      </c>
      <c r="F388" s="4">
        <v>0.736461972965178</v>
      </c>
      <c r="G388" s="4">
        <v>101.0</v>
      </c>
      <c r="H388" s="4">
        <v>2.14705882352941</v>
      </c>
      <c r="I388" s="4">
        <v>1.40294639618374</v>
      </c>
      <c r="J388" s="4">
        <v>102.0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 t="s">
        <v>819</v>
      </c>
      <c r="B389" s="4" t="s">
        <v>820</v>
      </c>
      <c r="C389" s="4" t="s">
        <v>15</v>
      </c>
      <c r="D389" s="4" t="s">
        <v>12</v>
      </c>
      <c r="E389" s="4">
        <v>4.27722772277228</v>
      </c>
      <c r="F389" s="4">
        <v>0.618365779796847</v>
      </c>
      <c r="G389" s="4">
        <v>101.0</v>
      </c>
      <c r="H389" s="4">
        <v>2.02912621359223</v>
      </c>
      <c r="I389" s="4">
        <v>1.45154623898585</v>
      </c>
      <c r="J389" s="4">
        <v>103.0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 t="s">
        <v>821</v>
      </c>
      <c r="B390" s="4" t="s">
        <v>822</v>
      </c>
      <c r="C390" s="4" t="s">
        <v>11</v>
      </c>
      <c r="D390" s="4" t="s">
        <v>46</v>
      </c>
      <c r="E390" s="4">
        <v>4.99074074074074</v>
      </c>
      <c r="F390" s="4">
        <v>1.71576184201409</v>
      </c>
      <c r="G390" s="4">
        <v>108.0</v>
      </c>
      <c r="H390" s="4">
        <v>5.40384615384615</v>
      </c>
      <c r="I390" s="4">
        <v>1.45828221042012</v>
      </c>
      <c r="J390" s="4">
        <v>104.0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8" t="s">
        <v>823</v>
      </c>
      <c r="B391" s="19" t="s">
        <v>824</v>
      </c>
      <c r="C391" s="19" t="s">
        <v>11</v>
      </c>
      <c r="D391" s="19" t="s">
        <v>46</v>
      </c>
      <c r="E391" s="19">
        <v>4.99074074074074</v>
      </c>
      <c r="F391" s="19">
        <v>1.08080422090782</v>
      </c>
      <c r="G391" s="19">
        <v>108.0</v>
      </c>
      <c r="H391" s="19">
        <v>4.11538461538461</v>
      </c>
      <c r="I391" s="19">
        <v>1.65058208213288</v>
      </c>
      <c r="J391" s="19">
        <v>104.0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" t="s">
        <v>825</v>
      </c>
      <c r="B392" s="4" t="s">
        <v>826</v>
      </c>
      <c r="C392" s="4" t="s">
        <v>11</v>
      </c>
      <c r="D392" s="4" t="s">
        <v>12</v>
      </c>
      <c r="E392" s="4">
        <v>4.98039215686275</v>
      </c>
      <c r="F392" s="4">
        <v>1.05286400687248</v>
      </c>
      <c r="G392" s="4">
        <v>102.0</v>
      </c>
      <c r="H392" s="4">
        <v>3.77227722772277</v>
      </c>
      <c r="I392" s="4">
        <v>1.67857789881085</v>
      </c>
      <c r="J392" s="4">
        <v>101.0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 t="s">
        <v>827</v>
      </c>
      <c r="B393" s="4" t="s">
        <v>828</v>
      </c>
      <c r="C393" s="4" t="s">
        <v>15</v>
      </c>
      <c r="D393" s="4" t="s">
        <v>12</v>
      </c>
      <c r="E393" s="4">
        <v>4.2970297029703</v>
      </c>
      <c r="F393" s="4">
        <v>0.575231335298166</v>
      </c>
      <c r="G393" s="4">
        <v>101.0</v>
      </c>
      <c r="H393" s="4">
        <v>2.23300970873786</v>
      </c>
      <c r="I393" s="4">
        <v>1.47664088519395</v>
      </c>
      <c r="J393" s="4">
        <v>103.0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 t="s">
        <v>829</v>
      </c>
      <c r="B394" s="4" t="s">
        <v>830</v>
      </c>
      <c r="C394" s="4" t="s">
        <v>11</v>
      </c>
      <c r="D394" s="4" t="s">
        <v>46</v>
      </c>
      <c r="E394" s="4">
        <v>4.98039215686275</v>
      </c>
      <c r="F394" s="4">
        <v>1.07150668563645</v>
      </c>
      <c r="G394" s="4">
        <v>102.0</v>
      </c>
      <c r="H394" s="4">
        <v>3.56435643564356</v>
      </c>
      <c r="I394" s="4">
        <v>1.53242188436578</v>
      </c>
      <c r="J394" s="4">
        <v>101.0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 t="s">
        <v>831</v>
      </c>
      <c r="B395" s="4" t="s">
        <v>832</v>
      </c>
      <c r="C395" s="4" t="s">
        <v>15</v>
      </c>
      <c r="D395" s="4" t="s">
        <v>12</v>
      </c>
      <c r="E395" s="4">
        <v>4.30392156862745</v>
      </c>
      <c r="F395" s="4">
        <v>0.728340249155633</v>
      </c>
      <c r="G395" s="4">
        <v>102.0</v>
      </c>
      <c r="H395" s="4">
        <v>2.26732673267327</v>
      </c>
      <c r="I395" s="4">
        <v>1.37033637555829</v>
      </c>
      <c r="J395" s="4">
        <v>101.0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 t="s">
        <v>833</v>
      </c>
      <c r="B396" s="4" t="s">
        <v>834</v>
      </c>
      <c r="C396" s="4" t="s">
        <v>15</v>
      </c>
      <c r="D396" s="4" t="s">
        <v>12</v>
      </c>
      <c r="E396" s="4">
        <v>4.30392156862745</v>
      </c>
      <c r="F396" s="4">
        <v>0.700625119549713</v>
      </c>
      <c r="G396" s="4">
        <v>102.0</v>
      </c>
      <c r="H396" s="4">
        <v>1.94059405940594</v>
      </c>
      <c r="I396" s="4">
        <v>1.31012810196727</v>
      </c>
      <c r="J396" s="4">
        <v>101.0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 t="s">
        <v>835</v>
      </c>
      <c r="B397" s="4" t="s">
        <v>836</v>
      </c>
      <c r="C397" s="4" t="s">
        <v>15</v>
      </c>
      <c r="D397" s="4" t="s">
        <v>12</v>
      </c>
      <c r="E397" s="4">
        <v>4.30693069306931</v>
      </c>
      <c r="F397" s="4">
        <v>0.731335412207364</v>
      </c>
      <c r="G397" s="4">
        <v>101.0</v>
      </c>
      <c r="H397" s="4">
        <v>2.10679611650485</v>
      </c>
      <c r="I397" s="4">
        <v>1.39966817747765</v>
      </c>
      <c r="J397" s="4">
        <v>103.0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 t="s">
        <v>837</v>
      </c>
      <c r="B398" s="4" t="s">
        <v>838</v>
      </c>
      <c r="C398" s="4" t="s">
        <v>15</v>
      </c>
      <c r="D398" s="4" t="s">
        <v>12</v>
      </c>
      <c r="E398" s="4">
        <v>4.31372549019608</v>
      </c>
      <c r="F398" s="4">
        <v>0.730934464384465</v>
      </c>
      <c r="G398" s="4">
        <v>102.0</v>
      </c>
      <c r="H398" s="4">
        <v>2.71287128712871</v>
      </c>
      <c r="I398" s="4">
        <v>1.53841888745144</v>
      </c>
      <c r="J398" s="4">
        <v>101.0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 t="s">
        <v>839</v>
      </c>
      <c r="B399" s="4" t="s">
        <v>840</v>
      </c>
      <c r="C399" s="4" t="s">
        <v>15</v>
      </c>
      <c r="D399" s="4" t="s">
        <v>12</v>
      </c>
      <c r="E399" s="4">
        <v>4.31372549019608</v>
      </c>
      <c r="F399" s="4">
        <v>1.02426396811248</v>
      </c>
      <c r="G399" s="4">
        <v>102.0</v>
      </c>
      <c r="H399" s="4">
        <v>2.5049504950495</v>
      </c>
      <c r="I399" s="4">
        <v>1.35368949450188</v>
      </c>
      <c r="J399" s="4">
        <v>101.0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 t="s">
        <v>841</v>
      </c>
      <c r="B400" s="4" t="s">
        <v>842</v>
      </c>
      <c r="C400" s="4" t="s">
        <v>15</v>
      </c>
      <c r="D400" s="4" t="s">
        <v>12</v>
      </c>
      <c r="E400" s="4">
        <v>4.31372549019608</v>
      </c>
      <c r="F400" s="4">
        <v>0.703321570001209</v>
      </c>
      <c r="G400" s="4">
        <v>102.0</v>
      </c>
      <c r="H400" s="4">
        <v>2.2970297029703</v>
      </c>
      <c r="I400" s="4">
        <v>1.38956507192319</v>
      </c>
      <c r="J400" s="4">
        <v>101.0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 t="s">
        <v>843</v>
      </c>
      <c r="B401" s="4" t="s">
        <v>844</v>
      </c>
      <c r="C401" s="4" t="s">
        <v>15</v>
      </c>
      <c r="D401" s="4" t="s">
        <v>12</v>
      </c>
      <c r="E401" s="4">
        <v>4.31372549019608</v>
      </c>
      <c r="F401" s="4">
        <v>0.674579328495119</v>
      </c>
      <c r="G401" s="4">
        <v>102.0</v>
      </c>
      <c r="H401" s="4">
        <v>2.1980198019802</v>
      </c>
      <c r="I401" s="4">
        <v>1.35661197090545</v>
      </c>
      <c r="J401" s="4">
        <v>101.0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 t="s">
        <v>845</v>
      </c>
      <c r="B402" s="4" t="s">
        <v>846</v>
      </c>
      <c r="C402" s="4" t="s">
        <v>15</v>
      </c>
      <c r="D402" s="4" t="s">
        <v>12</v>
      </c>
      <c r="E402" s="4">
        <v>4.31372549019608</v>
      </c>
      <c r="F402" s="4">
        <v>0.703321570001209</v>
      </c>
      <c r="G402" s="4">
        <v>102.0</v>
      </c>
      <c r="H402" s="4">
        <v>1.92079207920792</v>
      </c>
      <c r="I402" s="4">
        <v>1.27814841326688</v>
      </c>
      <c r="J402" s="4">
        <v>101.0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 t="s">
        <v>847</v>
      </c>
      <c r="B403" s="4" t="s">
        <v>848</v>
      </c>
      <c r="C403" s="4" t="s">
        <v>39</v>
      </c>
      <c r="D403" s="4" t="s">
        <v>12</v>
      </c>
      <c r="E403" s="4">
        <v>4.32352941176471</v>
      </c>
      <c r="F403" s="4">
        <v>1.35092021959864</v>
      </c>
      <c r="G403" s="4">
        <v>102.0</v>
      </c>
      <c r="H403" s="4">
        <v>4.20792079207921</v>
      </c>
      <c r="I403" s="4">
        <v>1.73963692581624</v>
      </c>
      <c r="J403" s="4">
        <v>101.0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 t="s">
        <v>849</v>
      </c>
      <c r="B404" s="4" t="s">
        <v>850</v>
      </c>
      <c r="C404" s="4" t="s">
        <v>25</v>
      </c>
      <c r="D404" s="4" t="s">
        <v>851</v>
      </c>
      <c r="E404" s="4">
        <v>4.32352941176471</v>
      </c>
      <c r="F404" s="4">
        <v>1.17027342752281</v>
      </c>
      <c r="G404" s="4">
        <v>102.0</v>
      </c>
      <c r="H404" s="4">
        <v>3.45544554455446</v>
      </c>
      <c r="I404" s="4">
        <v>1.58445418031098</v>
      </c>
      <c r="J404" s="4">
        <v>101.0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8" t="s">
        <v>852</v>
      </c>
      <c r="B405" s="19" t="s">
        <v>853</v>
      </c>
      <c r="C405" s="19" t="s">
        <v>11</v>
      </c>
      <c r="D405" s="19" t="s">
        <v>12</v>
      </c>
      <c r="E405" s="19">
        <v>4.96078431372549</v>
      </c>
      <c r="F405" s="19">
        <v>1.09834771160734</v>
      </c>
      <c r="G405" s="19">
        <v>102.0</v>
      </c>
      <c r="H405" s="19">
        <v>4.28712871287129</v>
      </c>
      <c r="I405" s="19">
        <v>1.6330133720418</v>
      </c>
      <c r="J405" s="19">
        <v>101.0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" t="s">
        <v>854</v>
      </c>
      <c r="B406" s="4" t="s">
        <v>855</v>
      </c>
      <c r="C406" s="4" t="s">
        <v>11</v>
      </c>
      <c r="D406" s="4" t="s">
        <v>12</v>
      </c>
      <c r="E406" s="4">
        <v>4.96039603960396</v>
      </c>
      <c r="F406" s="4">
        <v>1.15689923570904</v>
      </c>
      <c r="G406" s="4">
        <v>101.0</v>
      </c>
      <c r="H406" s="4">
        <v>3.18446601941748</v>
      </c>
      <c r="I406" s="4">
        <v>1.64345149009777</v>
      </c>
      <c r="J406" s="4">
        <v>103.0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 t="s">
        <v>856</v>
      </c>
      <c r="B407" s="4" t="s">
        <v>857</v>
      </c>
      <c r="C407" s="4" t="s">
        <v>15</v>
      </c>
      <c r="D407" s="4" t="s">
        <v>12</v>
      </c>
      <c r="E407" s="4">
        <v>4.33333333333333</v>
      </c>
      <c r="F407" s="4">
        <v>0.722116434665852</v>
      </c>
      <c r="G407" s="4">
        <v>102.0</v>
      </c>
      <c r="H407" s="4">
        <v>2.28712871287129</v>
      </c>
      <c r="I407" s="4">
        <v>1.48550754736128</v>
      </c>
      <c r="J407" s="4">
        <v>101.0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7" t="s">
        <v>858</v>
      </c>
      <c r="B408" s="28" t="s">
        <v>859</v>
      </c>
      <c r="C408" s="28" t="s">
        <v>15</v>
      </c>
      <c r="D408" s="28" t="s">
        <v>12</v>
      </c>
      <c r="E408" s="28">
        <v>4.33333333333333</v>
      </c>
      <c r="F408" s="28">
        <v>0.998348471209826</v>
      </c>
      <c r="G408" s="28">
        <v>102.0</v>
      </c>
      <c r="H408" s="28">
        <v>2.10891089108911</v>
      </c>
      <c r="I408" s="28">
        <v>1.45534181619996</v>
      </c>
      <c r="J408" s="28">
        <v>101.0</v>
      </c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" t="s">
        <v>860</v>
      </c>
      <c r="B409" s="4" t="s">
        <v>861</v>
      </c>
      <c r="C409" s="4" t="s">
        <v>11</v>
      </c>
      <c r="D409" s="4" t="s">
        <v>46</v>
      </c>
      <c r="E409" s="4">
        <v>4.94059405940594</v>
      </c>
      <c r="F409" s="4">
        <v>1.06603735561394</v>
      </c>
      <c r="G409" s="4">
        <v>101.0</v>
      </c>
      <c r="H409" s="4">
        <v>3.38834951456311</v>
      </c>
      <c r="I409" s="4">
        <v>1.54813619574102</v>
      </c>
      <c r="J409" s="4">
        <v>103.0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 t="s">
        <v>862</v>
      </c>
      <c r="B410" s="4" t="s">
        <v>863</v>
      </c>
      <c r="C410" s="4" t="s">
        <v>11</v>
      </c>
      <c r="D410" s="4" t="s">
        <v>46</v>
      </c>
      <c r="E410" s="4">
        <v>4.93137254901961</v>
      </c>
      <c r="F410" s="4">
        <v>1.06482745240597</v>
      </c>
      <c r="G410" s="4">
        <v>102.0</v>
      </c>
      <c r="H410" s="4">
        <v>4.0990099009901</v>
      </c>
      <c r="I410" s="4">
        <v>1.53951258841914</v>
      </c>
      <c r="J410" s="4">
        <v>101.0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 t="s">
        <v>864</v>
      </c>
      <c r="B411" s="4" t="s">
        <v>865</v>
      </c>
      <c r="C411" s="4" t="s">
        <v>15</v>
      </c>
      <c r="D411" s="4" t="s">
        <v>12</v>
      </c>
      <c r="E411" s="4">
        <v>4.36274509803922</v>
      </c>
      <c r="F411" s="4">
        <v>1.24112066642978</v>
      </c>
      <c r="G411" s="4">
        <v>102.0</v>
      </c>
      <c r="H411" s="4">
        <v>2.87128712871287</v>
      </c>
      <c r="I411" s="4">
        <v>1.53403628598957</v>
      </c>
      <c r="J411" s="4">
        <v>101.0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 t="s">
        <v>866</v>
      </c>
      <c r="B412" s="4" t="s">
        <v>867</v>
      </c>
      <c r="C412" s="4" t="s">
        <v>15</v>
      </c>
      <c r="D412" s="4" t="s">
        <v>12</v>
      </c>
      <c r="E412" s="4">
        <v>4.36274509803922</v>
      </c>
      <c r="F412" s="4">
        <v>0.75503872677905</v>
      </c>
      <c r="G412" s="4">
        <v>102.0</v>
      </c>
      <c r="H412" s="4">
        <v>2.44554455445545</v>
      </c>
      <c r="I412" s="4">
        <v>1.50648762042542</v>
      </c>
      <c r="J412" s="4">
        <v>101.0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 t="s">
        <v>868</v>
      </c>
      <c r="B413" s="4" t="s">
        <v>869</v>
      </c>
      <c r="C413" s="4" t="s">
        <v>15</v>
      </c>
      <c r="D413" s="4" t="s">
        <v>12</v>
      </c>
      <c r="E413" s="4">
        <v>4.36274509803922</v>
      </c>
      <c r="F413" s="4">
        <v>0.952216961780489</v>
      </c>
      <c r="G413" s="4">
        <v>102.0</v>
      </c>
      <c r="H413" s="4">
        <v>2.25742574257426</v>
      </c>
      <c r="I413" s="4">
        <v>1.31646090216561</v>
      </c>
      <c r="J413" s="4">
        <v>101.0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4" t="s">
        <v>870</v>
      </c>
      <c r="B414" s="25" t="s">
        <v>871</v>
      </c>
      <c r="C414" s="25" t="s">
        <v>39</v>
      </c>
      <c r="D414" s="25" t="s">
        <v>12</v>
      </c>
      <c r="E414" s="25">
        <v>4.36633663366337</v>
      </c>
      <c r="F414" s="25">
        <v>1.18930881000039</v>
      </c>
      <c r="G414" s="25">
        <v>101.0</v>
      </c>
      <c r="H414" s="25">
        <v>4.40776699029126</v>
      </c>
      <c r="I414" s="25">
        <v>1.68869884476524</v>
      </c>
      <c r="J414" s="25">
        <v>103.0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" t="s">
        <v>872</v>
      </c>
      <c r="B415" s="4" t="s">
        <v>873</v>
      </c>
      <c r="C415" s="4" t="s">
        <v>39</v>
      </c>
      <c r="D415" s="4" t="s">
        <v>46</v>
      </c>
      <c r="E415" s="4">
        <v>4.36633663366337</v>
      </c>
      <c r="F415" s="4">
        <v>1.06510818490168</v>
      </c>
      <c r="G415" s="4">
        <v>101.0</v>
      </c>
      <c r="H415" s="4">
        <v>3.59223300970874</v>
      </c>
      <c r="I415" s="4">
        <v>1.81192614014232</v>
      </c>
      <c r="J415" s="4">
        <v>103.0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 t="s">
        <v>874</v>
      </c>
      <c r="B416" s="4" t="s">
        <v>875</v>
      </c>
      <c r="C416" s="4" t="s">
        <v>39</v>
      </c>
      <c r="D416" s="4" t="s">
        <v>12</v>
      </c>
      <c r="E416" s="4">
        <v>4.37254901960784</v>
      </c>
      <c r="F416" s="4">
        <v>1.3637569585992</v>
      </c>
      <c r="G416" s="4">
        <v>102.0</v>
      </c>
      <c r="H416" s="4">
        <v>4.74257425742574</v>
      </c>
      <c r="I416" s="4">
        <v>1.84202858472139</v>
      </c>
      <c r="J416" s="4">
        <v>101.0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 t="s">
        <v>876</v>
      </c>
      <c r="B417" s="4" t="s">
        <v>877</v>
      </c>
      <c r="C417" s="4" t="s">
        <v>11</v>
      </c>
      <c r="D417" s="4" t="s">
        <v>46</v>
      </c>
      <c r="E417" s="4">
        <v>4.91176470588235</v>
      </c>
      <c r="F417" s="4">
        <v>1.59269956504187</v>
      </c>
      <c r="G417" s="4">
        <v>102.0</v>
      </c>
      <c r="H417" s="4">
        <v>5.46534653465347</v>
      </c>
      <c r="I417" s="4">
        <v>1.60352334835289</v>
      </c>
      <c r="J417" s="4">
        <v>101.0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 t="s">
        <v>878</v>
      </c>
      <c r="B418" s="4" t="s">
        <v>879</v>
      </c>
      <c r="C418" s="4" t="s">
        <v>11</v>
      </c>
      <c r="D418" s="4" t="s">
        <v>46</v>
      </c>
      <c r="E418" s="4">
        <v>4.8921568627451</v>
      </c>
      <c r="F418" s="4">
        <v>1.98462836756121</v>
      </c>
      <c r="G418" s="4">
        <v>102.0</v>
      </c>
      <c r="H418" s="4">
        <v>5.15841584158416</v>
      </c>
      <c r="I418" s="4">
        <v>1.82610335560355</v>
      </c>
      <c r="J418" s="4">
        <v>101.0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 t="s">
        <v>880</v>
      </c>
      <c r="B419" s="4" t="s">
        <v>881</v>
      </c>
      <c r="C419" s="4" t="s">
        <v>11</v>
      </c>
      <c r="D419" s="4" t="s">
        <v>12</v>
      </c>
      <c r="E419" s="4">
        <v>4.8921568627451</v>
      </c>
      <c r="F419" s="4">
        <v>1.27354547392716</v>
      </c>
      <c r="G419" s="4">
        <v>102.0</v>
      </c>
      <c r="H419" s="4">
        <v>5.11881188118812</v>
      </c>
      <c r="I419" s="4">
        <v>1.45111769827862</v>
      </c>
      <c r="J419" s="4">
        <v>101.0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 t="s">
        <v>882</v>
      </c>
      <c r="B420" s="4" t="s">
        <v>883</v>
      </c>
      <c r="C420" s="4" t="s">
        <v>39</v>
      </c>
      <c r="D420" s="4" t="s">
        <v>12</v>
      </c>
      <c r="E420" s="4">
        <v>4.38888888888889</v>
      </c>
      <c r="F420" s="4">
        <v>1.50285294629686</v>
      </c>
      <c r="G420" s="4">
        <v>108.0</v>
      </c>
      <c r="H420" s="4">
        <v>4.05769230769231</v>
      </c>
      <c r="I420" s="4">
        <v>1.69995387188659</v>
      </c>
      <c r="J420" s="4">
        <v>104.0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 t="s">
        <v>884</v>
      </c>
      <c r="B421" s="4" t="s">
        <v>885</v>
      </c>
      <c r="C421" s="4" t="s">
        <v>39</v>
      </c>
      <c r="D421" s="4" t="s">
        <v>46</v>
      </c>
      <c r="E421" s="4">
        <v>4.38888888888889</v>
      </c>
      <c r="F421" s="4">
        <v>1.16677792081908</v>
      </c>
      <c r="G421" s="4">
        <v>108.0</v>
      </c>
      <c r="H421" s="4">
        <v>3.21153846153846</v>
      </c>
      <c r="I421" s="4">
        <v>1.83108581996032</v>
      </c>
      <c r="J421" s="4">
        <v>104.0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 t="s">
        <v>886</v>
      </c>
      <c r="B422" s="4" t="s">
        <v>887</v>
      </c>
      <c r="C422" s="4" t="s">
        <v>39</v>
      </c>
      <c r="D422" s="4" t="s">
        <v>46</v>
      </c>
      <c r="E422" s="4">
        <v>4.3960396039604</v>
      </c>
      <c r="F422" s="4">
        <v>1.07776813759539</v>
      </c>
      <c r="G422" s="4">
        <v>101.0</v>
      </c>
      <c r="H422" s="4">
        <v>3.68932038834951</v>
      </c>
      <c r="I422" s="4">
        <v>1.79885108329577</v>
      </c>
      <c r="J422" s="4">
        <v>103.0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 t="s">
        <v>888</v>
      </c>
      <c r="B423" s="4" t="s">
        <v>889</v>
      </c>
      <c r="C423" s="4" t="s">
        <v>11</v>
      </c>
      <c r="D423" s="4" t="s">
        <v>46</v>
      </c>
      <c r="E423" s="4">
        <v>4.88888888888889</v>
      </c>
      <c r="F423" s="4">
        <v>1.2776536126408</v>
      </c>
      <c r="G423" s="4">
        <v>108.0</v>
      </c>
      <c r="H423" s="4">
        <v>3.875</v>
      </c>
      <c r="I423" s="4">
        <v>1.66452127290737</v>
      </c>
      <c r="J423" s="4">
        <v>104.0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 t="s">
        <v>890</v>
      </c>
      <c r="B424" s="4" t="s">
        <v>891</v>
      </c>
      <c r="C424" s="4" t="s">
        <v>25</v>
      </c>
      <c r="D424" s="4" t="s">
        <v>12</v>
      </c>
      <c r="E424" s="4">
        <v>4.40740740740741</v>
      </c>
      <c r="F424" s="4">
        <v>1.18429786791357</v>
      </c>
      <c r="G424" s="4">
        <v>108.0</v>
      </c>
      <c r="H424" s="4">
        <v>2.66346153846154</v>
      </c>
      <c r="I424" s="4">
        <v>1.43202332873467</v>
      </c>
      <c r="J424" s="4">
        <v>104.0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 t="s">
        <v>892</v>
      </c>
      <c r="B425" s="4" t="s">
        <v>893</v>
      </c>
      <c r="C425" s="4" t="s">
        <v>39</v>
      </c>
      <c r="D425" s="4" t="s">
        <v>46</v>
      </c>
      <c r="E425" s="4">
        <v>4.41176470588235</v>
      </c>
      <c r="F425" s="4">
        <v>1.3076540946356</v>
      </c>
      <c r="G425" s="4">
        <v>102.0</v>
      </c>
      <c r="H425" s="4">
        <v>4.53465346534653</v>
      </c>
      <c r="I425" s="4">
        <v>1.65266062115392</v>
      </c>
      <c r="J425" s="4">
        <v>101.0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 t="s">
        <v>894</v>
      </c>
      <c r="B426" s="4" t="s">
        <v>895</v>
      </c>
      <c r="C426" s="4" t="s">
        <v>15</v>
      </c>
      <c r="D426" s="4" t="s">
        <v>12</v>
      </c>
      <c r="E426" s="4">
        <v>4.41584158415842</v>
      </c>
      <c r="F426" s="4">
        <v>1.35843532590016</v>
      </c>
      <c r="G426" s="4">
        <v>101.0</v>
      </c>
      <c r="H426" s="4">
        <v>4.50485436893204</v>
      </c>
      <c r="I426" s="4">
        <v>1.85172832043508</v>
      </c>
      <c r="J426" s="4">
        <v>103.0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1" t="s">
        <v>896</v>
      </c>
      <c r="B427" s="22" t="s">
        <v>897</v>
      </c>
      <c r="C427" s="22" t="s">
        <v>25</v>
      </c>
      <c r="D427" s="22" t="s">
        <v>898</v>
      </c>
      <c r="E427" s="22">
        <v>4.41666666666667</v>
      </c>
      <c r="F427" s="22">
        <v>1.31933854851872</v>
      </c>
      <c r="G427" s="22">
        <v>108.0</v>
      </c>
      <c r="H427" s="22">
        <v>3.77884615384615</v>
      </c>
      <c r="I427" s="22">
        <v>1.72337854436265</v>
      </c>
      <c r="J427" s="22">
        <v>104.0</v>
      </c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" t="s">
        <v>899</v>
      </c>
      <c r="B428" s="4" t="s">
        <v>900</v>
      </c>
      <c r="C428" s="4" t="s">
        <v>15</v>
      </c>
      <c r="D428" s="4" t="s">
        <v>12</v>
      </c>
      <c r="E428" s="4">
        <v>4.42156862745098</v>
      </c>
      <c r="F428" s="4">
        <v>0.969191502496266</v>
      </c>
      <c r="G428" s="4">
        <v>102.0</v>
      </c>
      <c r="H428" s="4">
        <v>2.12871287128713</v>
      </c>
      <c r="I428" s="4">
        <v>1.39759340536963</v>
      </c>
      <c r="J428" s="4">
        <v>101.0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 t="s">
        <v>901</v>
      </c>
      <c r="B429" s="4" t="s">
        <v>902</v>
      </c>
      <c r="C429" s="4" t="s">
        <v>11</v>
      </c>
      <c r="D429" s="4" t="s">
        <v>12</v>
      </c>
      <c r="E429" s="4">
        <v>4.88235294117647</v>
      </c>
      <c r="F429" s="4">
        <v>1.21291823569291</v>
      </c>
      <c r="G429" s="4">
        <v>102.0</v>
      </c>
      <c r="H429" s="4">
        <v>3.85148514851485</v>
      </c>
      <c r="I429" s="4">
        <v>1.64551595928974</v>
      </c>
      <c r="J429" s="4">
        <v>101.0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 t="s">
        <v>903</v>
      </c>
      <c r="B430" s="4" t="s">
        <v>904</v>
      </c>
      <c r="C430" s="4" t="s">
        <v>15</v>
      </c>
      <c r="D430" s="4" t="s">
        <v>12</v>
      </c>
      <c r="E430" s="4">
        <v>4.43518518518519</v>
      </c>
      <c r="F430" s="4">
        <v>0.949895696666126</v>
      </c>
      <c r="G430" s="4">
        <v>108.0</v>
      </c>
      <c r="H430" s="4">
        <v>2.29807692307692</v>
      </c>
      <c r="I430" s="4">
        <v>1.38563929861637</v>
      </c>
      <c r="J430" s="4">
        <v>104.0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 t="s">
        <v>905</v>
      </c>
      <c r="B431" s="4" t="s">
        <v>906</v>
      </c>
      <c r="C431" s="4" t="s">
        <v>39</v>
      </c>
      <c r="D431" s="4" t="s">
        <v>46</v>
      </c>
      <c r="E431" s="4">
        <v>4.43564356435644</v>
      </c>
      <c r="F431" s="4">
        <v>1.19512209906903</v>
      </c>
      <c r="G431" s="4">
        <v>101.0</v>
      </c>
      <c r="H431" s="4">
        <v>4.46601941747573</v>
      </c>
      <c r="I431" s="4">
        <v>1.67341106362261</v>
      </c>
      <c r="J431" s="4">
        <v>103.0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 t="s">
        <v>907</v>
      </c>
      <c r="B432" s="4" t="s">
        <v>908</v>
      </c>
      <c r="C432" s="4" t="s">
        <v>39</v>
      </c>
      <c r="D432" s="4" t="s">
        <v>12</v>
      </c>
      <c r="E432" s="4">
        <v>4.43564356435644</v>
      </c>
      <c r="F432" s="4">
        <v>1.04322424803259</v>
      </c>
      <c r="G432" s="4">
        <v>101.0</v>
      </c>
      <c r="H432" s="4">
        <v>3.13592233009709</v>
      </c>
      <c r="I432" s="4">
        <v>1.56586469057909</v>
      </c>
      <c r="J432" s="4">
        <v>103.0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8" t="s">
        <v>909</v>
      </c>
      <c r="B433" s="19" t="s">
        <v>910</v>
      </c>
      <c r="C433" s="19" t="s">
        <v>11</v>
      </c>
      <c r="D433" s="19" t="s">
        <v>12</v>
      </c>
      <c r="E433" s="19">
        <v>4.87128712871287</v>
      </c>
      <c r="F433" s="19">
        <v>1.11052569836662</v>
      </c>
      <c r="G433" s="19">
        <v>101.0</v>
      </c>
      <c r="H433" s="19">
        <v>3.00970873786408</v>
      </c>
      <c r="I433" s="19">
        <v>1.41764196391899</v>
      </c>
      <c r="J433" s="19">
        <v>103.0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" t="s">
        <v>911</v>
      </c>
      <c r="B434" s="4" t="s">
        <v>912</v>
      </c>
      <c r="C434" s="4" t="s">
        <v>39</v>
      </c>
      <c r="D434" s="4" t="s">
        <v>46</v>
      </c>
      <c r="E434" s="4">
        <v>4.46078431372549</v>
      </c>
      <c r="F434" s="4">
        <v>1.36194072818102</v>
      </c>
      <c r="G434" s="4">
        <v>102.0</v>
      </c>
      <c r="H434" s="4">
        <v>4.83168316831683</v>
      </c>
      <c r="I434" s="4">
        <v>1.61906952865337</v>
      </c>
      <c r="J434" s="4">
        <v>101.0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 t="s">
        <v>913</v>
      </c>
      <c r="B435" s="4" t="s">
        <v>914</v>
      </c>
      <c r="C435" s="4" t="s">
        <v>15</v>
      </c>
      <c r="D435" s="4" t="s">
        <v>12</v>
      </c>
      <c r="E435" s="4">
        <v>4.46078431372549</v>
      </c>
      <c r="F435" s="4">
        <v>0.779331633262111</v>
      </c>
      <c r="G435" s="4">
        <v>102.0</v>
      </c>
      <c r="H435" s="4">
        <v>1.98019801980198</v>
      </c>
      <c r="I435" s="4">
        <v>1.33401797603932</v>
      </c>
      <c r="J435" s="4">
        <v>101.0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 t="s">
        <v>915</v>
      </c>
      <c r="B436" s="4" t="s">
        <v>916</v>
      </c>
      <c r="C436" s="4" t="s">
        <v>25</v>
      </c>
      <c r="D436" s="4" t="s">
        <v>12</v>
      </c>
      <c r="E436" s="4">
        <v>4.47058823529412</v>
      </c>
      <c r="F436" s="4">
        <v>1.37665027773467</v>
      </c>
      <c r="G436" s="4">
        <v>102.0</v>
      </c>
      <c r="H436" s="4">
        <v>4.44554455445545</v>
      </c>
      <c r="I436" s="4">
        <v>1.54580236462979</v>
      </c>
      <c r="J436" s="4">
        <v>101.0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 t="s">
        <v>917</v>
      </c>
      <c r="B437" s="4" t="s">
        <v>918</v>
      </c>
      <c r="C437" s="4" t="s">
        <v>15</v>
      </c>
      <c r="D437" s="4" t="s">
        <v>12</v>
      </c>
      <c r="E437" s="4">
        <v>4.47524752475248</v>
      </c>
      <c r="F437" s="4">
        <v>1.15407156975588</v>
      </c>
      <c r="G437" s="4">
        <v>101.0</v>
      </c>
      <c r="H437" s="4">
        <v>3.12621359223301</v>
      </c>
      <c r="I437" s="4">
        <v>1.65493683103477</v>
      </c>
      <c r="J437" s="4">
        <v>103.0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 t="s">
        <v>919</v>
      </c>
      <c r="B438" s="4" t="s">
        <v>920</v>
      </c>
      <c r="C438" s="4" t="s">
        <v>39</v>
      </c>
      <c r="D438" s="4" t="s">
        <v>12</v>
      </c>
      <c r="E438" s="4">
        <v>4.48039215686275</v>
      </c>
      <c r="F438" s="4">
        <v>0.852839081043838</v>
      </c>
      <c r="G438" s="4">
        <v>102.0</v>
      </c>
      <c r="H438" s="4">
        <v>2.47524752475248</v>
      </c>
      <c r="I438" s="4">
        <v>1.4324388950733</v>
      </c>
      <c r="J438" s="4">
        <v>101.0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 t="s">
        <v>921</v>
      </c>
      <c r="B439" s="4" t="s">
        <v>922</v>
      </c>
      <c r="C439" s="4" t="s">
        <v>15</v>
      </c>
      <c r="D439" s="4" t="s">
        <v>12</v>
      </c>
      <c r="E439" s="4">
        <v>4.48039215686275</v>
      </c>
      <c r="F439" s="4">
        <v>0.841149521760358</v>
      </c>
      <c r="G439" s="4">
        <v>102.0</v>
      </c>
      <c r="H439" s="4">
        <v>2.16831683168317</v>
      </c>
      <c r="I439" s="4">
        <v>1.37163629968511</v>
      </c>
      <c r="J439" s="4">
        <v>101.0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 t="s">
        <v>923</v>
      </c>
      <c r="B440" s="4" t="s">
        <v>924</v>
      </c>
      <c r="C440" s="4" t="s">
        <v>39</v>
      </c>
      <c r="D440" s="4" t="s">
        <v>12</v>
      </c>
      <c r="E440" s="4">
        <v>4.48514851485149</v>
      </c>
      <c r="F440" s="4">
        <v>1.37560067887551</v>
      </c>
      <c r="G440" s="4">
        <v>101.0</v>
      </c>
      <c r="H440" s="4">
        <v>4.37864077669903</v>
      </c>
      <c r="I440" s="4">
        <v>1.85301294057241</v>
      </c>
      <c r="J440" s="4">
        <v>103.0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 t="s">
        <v>925</v>
      </c>
      <c r="B441" s="4" t="s">
        <v>926</v>
      </c>
      <c r="C441" s="4" t="s">
        <v>39</v>
      </c>
      <c r="D441" s="4" t="s">
        <v>12</v>
      </c>
      <c r="E441" s="4">
        <v>4.48514851485149</v>
      </c>
      <c r="F441" s="4">
        <v>1.17994797670184</v>
      </c>
      <c r="G441" s="4">
        <v>101.0</v>
      </c>
      <c r="H441" s="4">
        <v>4.15533980582524</v>
      </c>
      <c r="I441" s="4">
        <v>1.73067640382959</v>
      </c>
      <c r="J441" s="4">
        <v>103.0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 t="s">
        <v>927</v>
      </c>
      <c r="B442" s="4" t="s">
        <v>928</v>
      </c>
      <c r="C442" s="4" t="s">
        <v>39</v>
      </c>
      <c r="D442" s="4" t="s">
        <v>46</v>
      </c>
      <c r="E442" s="4">
        <v>4.49019607843137</v>
      </c>
      <c r="F442" s="4">
        <v>1.4470529836223</v>
      </c>
      <c r="G442" s="4">
        <v>102.0</v>
      </c>
      <c r="H442" s="4">
        <v>4.71287128712871</v>
      </c>
      <c r="I442" s="4">
        <v>1.60210257888418</v>
      </c>
      <c r="J442" s="4">
        <v>101.0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 t="s">
        <v>929</v>
      </c>
      <c r="B443" s="4" t="s">
        <v>930</v>
      </c>
      <c r="C443" s="4" t="s">
        <v>39</v>
      </c>
      <c r="D443" s="4" t="s">
        <v>12</v>
      </c>
      <c r="E443" s="4">
        <v>4.49019607843137</v>
      </c>
      <c r="F443" s="4">
        <v>1.30304364218925</v>
      </c>
      <c r="G443" s="4">
        <v>102.0</v>
      </c>
      <c r="H443" s="4">
        <v>3.25742574257426</v>
      </c>
      <c r="I443" s="4">
        <v>1.61030099886037</v>
      </c>
      <c r="J443" s="4">
        <v>101.0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 t="s">
        <v>931</v>
      </c>
      <c r="B444" s="4" t="s">
        <v>932</v>
      </c>
      <c r="C444" s="4" t="s">
        <v>11</v>
      </c>
      <c r="D444" s="4" t="s">
        <v>12</v>
      </c>
      <c r="E444" s="4">
        <v>4.86274509803922</v>
      </c>
      <c r="F444" s="4">
        <v>1.09036478305393</v>
      </c>
      <c r="G444" s="4">
        <v>102.0</v>
      </c>
      <c r="H444" s="4">
        <v>3.08910891089109</v>
      </c>
      <c r="I444" s="4">
        <v>1.64984247672916</v>
      </c>
      <c r="J444" s="4">
        <v>101.0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 t="s">
        <v>933</v>
      </c>
      <c r="B445" s="4" t="s">
        <v>934</v>
      </c>
      <c r="C445" s="4" t="s">
        <v>39</v>
      </c>
      <c r="D445" s="4" t="s">
        <v>46</v>
      </c>
      <c r="E445" s="4">
        <v>4.49019607843137</v>
      </c>
      <c r="F445" s="4">
        <v>0.853009791120152</v>
      </c>
      <c r="G445" s="4">
        <v>102.0</v>
      </c>
      <c r="H445" s="4">
        <v>2.89108910891089</v>
      </c>
      <c r="I445" s="4">
        <v>1.48930178338045</v>
      </c>
      <c r="J445" s="4">
        <v>101.0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 t="s">
        <v>935</v>
      </c>
      <c r="B446" s="4" t="s">
        <v>936</v>
      </c>
      <c r="C446" s="4" t="s">
        <v>39</v>
      </c>
      <c r="D446" s="4" t="s">
        <v>46</v>
      </c>
      <c r="E446" s="4">
        <v>4.5</v>
      </c>
      <c r="F446" s="4">
        <v>1.14968786121183</v>
      </c>
      <c r="G446" s="4">
        <v>102.0</v>
      </c>
      <c r="H446" s="4">
        <v>3.99009900990099</v>
      </c>
      <c r="I446" s="4">
        <v>1.77479604183101</v>
      </c>
      <c r="J446" s="4">
        <v>101.0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 t="s">
        <v>937</v>
      </c>
      <c r="B447" s="4" t="s">
        <v>938</v>
      </c>
      <c r="C447" s="4" t="s">
        <v>11</v>
      </c>
      <c r="D447" s="4" t="s">
        <v>46</v>
      </c>
      <c r="E447" s="4">
        <v>4.84158415841584</v>
      </c>
      <c r="F447" s="4">
        <v>2.0333847312662</v>
      </c>
      <c r="G447" s="4">
        <v>101.0</v>
      </c>
      <c r="H447" s="4">
        <v>5.62135922330097</v>
      </c>
      <c r="I447" s="4">
        <v>1.88449038648446</v>
      </c>
      <c r="J447" s="4">
        <v>103.0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 t="s">
        <v>939</v>
      </c>
      <c r="B448" s="4" t="s">
        <v>940</v>
      </c>
      <c r="C448" s="4" t="s">
        <v>39</v>
      </c>
      <c r="D448" s="4" t="s">
        <v>12</v>
      </c>
      <c r="E448" s="4">
        <v>4.50925925925926</v>
      </c>
      <c r="F448" s="4">
        <v>1.41087478908449</v>
      </c>
      <c r="G448" s="4">
        <v>108.0</v>
      </c>
      <c r="H448" s="4">
        <v>4.50961538461539</v>
      </c>
      <c r="I448" s="4">
        <v>1.80072904495742</v>
      </c>
      <c r="J448" s="4">
        <v>104.0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 t="s">
        <v>941</v>
      </c>
      <c r="B449" s="4" t="s">
        <v>942</v>
      </c>
      <c r="C449" s="4" t="s">
        <v>15</v>
      </c>
      <c r="D449" s="4" t="s">
        <v>12</v>
      </c>
      <c r="E449" s="4">
        <v>4.50980392156863</v>
      </c>
      <c r="F449" s="4">
        <v>0.829470760998123</v>
      </c>
      <c r="G449" s="4">
        <v>102.0</v>
      </c>
      <c r="H449" s="4">
        <v>2.40594059405941</v>
      </c>
      <c r="I449" s="4">
        <v>1.39411776993038</v>
      </c>
      <c r="J449" s="4">
        <v>101.0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 t="s">
        <v>943</v>
      </c>
      <c r="B450" s="4" t="s">
        <v>944</v>
      </c>
      <c r="C450" s="4" t="s">
        <v>11</v>
      </c>
      <c r="D450" s="4" t="s">
        <v>46</v>
      </c>
      <c r="E450" s="4">
        <v>4.83333333333333</v>
      </c>
      <c r="F450" s="4">
        <v>1.26712689224722</v>
      </c>
      <c r="G450" s="4">
        <v>102.0</v>
      </c>
      <c r="H450" s="4">
        <v>4.85148514851485</v>
      </c>
      <c r="I450" s="4">
        <v>1.58988137050449</v>
      </c>
      <c r="J450" s="4">
        <v>101.0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8" t="s">
        <v>945</v>
      </c>
      <c r="B451" s="19" t="s">
        <v>946</v>
      </c>
      <c r="C451" s="19" t="s">
        <v>11</v>
      </c>
      <c r="D451" s="19" t="s">
        <v>12</v>
      </c>
      <c r="E451" s="19">
        <v>4.83333333333333</v>
      </c>
      <c r="F451" s="19">
        <v>1.1864193015439</v>
      </c>
      <c r="G451" s="19">
        <v>102.0</v>
      </c>
      <c r="H451" s="19">
        <v>4.2970297029703</v>
      </c>
      <c r="I451" s="19">
        <v>1.57825571093816</v>
      </c>
      <c r="J451" s="19">
        <v>101.0</v>
      </c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" t="s">
        <v>947</v>
      </c>
      <c r="B452" s="4" t="s">
        <v>948</v>
      </c>
      <c r="C452" s="4" t="s">
        <v>15</v>
      </c>
      <c r="D452" s="4" t="s">
        <v>12</v>
      </c>
      <c r="E452" s="4">
        <v>4.51960784313725</v>
      </c>
      <c r="F452" s="4">
        <v>0.817268962803335</v>
      </c>
      <c r="G452" s="4">
        <v>102.0</v>
      </c>
      <c r="H452" s="4">
        <v>2.57425742574257</v>
      </c>
      <c r="I452" s="4">
        <v>1.51885835187792</v>
      </c>
      <c r="J452" s="4">
        <v>101.0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 t="s">
        <v>949</v>
      </c>
      <c r="B453" s="4" t="s">
        <v>950</v>
      </c>
      <c r="C453" s="4" t="s">
        <v>15</v>
      </c>
      <c r="D453" s="4" t="s">
        <v>12</v>
      </c>
      <c r="E453" s="4">
        <v>4.51960784313725</v>
      </c>
      <c r="F453" s="4">
        <v>0.841149521760358</v>
      </c>
      <c r="G453" s="4">
        <v>102.0</v>
      </c>
      <c r="H453" s="4">
        <v>2.22772277227723</v>
      </c>
      <c r="I453" s="4">
        <v>1.39915108632922</v>
      </c>
      <c r="J453" s="4">
        <v>101.0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 t="s">
        <v>951</v>
      </c>
      <c r="B454" s="4" t="s">
        <v>952</v>
      </c>
      <c r="C454" s="4" t="s">
        <v>15</v>
      </c>
      <c r="D454" s="4" t="s">
        <v>12</v>
      </c>
      <c r="E454" s="4">
        <v>4.51960784313725</v>
      </c>
      <c r="F454" s="4">
        <v>0.951605128158669</v>
      </c>
      <c r="G454" s="4">
        <v>102.0</v>
      </c>
      <c r="H454" s="4">
        <v>2.17821782178218</v>
      </c>
      <c r="I454" s="4">
        <v>1.40993644965977</v>
      </c>
      <c r="J454" s="4">
        <v>101.0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 t="s">
        <v>953</v>
      </c>
      <c r="B455" s="4" t="s">
        <v>954</v>
      </c>
      <c r="C455" s="4" t="s">
        <v>25</v>
      </c>
      <c r="D455" s="4" t="s">
        <v>12</v>
      </c>
      <c r="E455" s="4">
        <v>4.52777777777778</v>
      </c>
      <c r="F455" s="4">
        <v>1.2489871285774</v>
      </c>
      <c r="G455" s="4">
        <v>108.0</v>
      </c>
      <c r="H455" s="4">
        <v>2.50961538461538</v>
      </c>
      <c r="I455" s="4">
        <v>1.52006126797632</v>
      </c>
      <c r="J455" s="4">
        <v>104.0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 t="s">
        <v>955</v>
      </c>
      <c r="B456" s="4" t="s">
        <v>956</v>
      </c>
      <c r="C456" s="4" t="s">
        <v>25</v>
      </c>
      <c r="D456" s="4" t="s">
        <v>12</v>
      </c>
      <c r="E456" s="4">
        <v>4.53465346534653</v>
      </c>
      <c r="F456" s="4">
        <v>1.196364128814</v>
      </c>
      <c r="G456" s="4">
        <v>101.0</v>
      </c>
      <c r="H456" s="4">
        <v>4.0873786407767</v>
      </c>
      <c r="I456" s="4">
        <v>1.62158719219543</v>
      </c>
      <c r="J456" s="4">
        <v>103.0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7" t="s">
        <v>957</v>
      </c>
      <c r="B457" s="28" t="s">
        <v>958</v>
      </c>
      <c r="C457" s="28" t="s">
        <v>15</v>
      </c>
      <c r="D457" s="28" t="s">
        <v>12</v>
      </c>
      <c r="E457" s="28">
        <v>4.53703703703704</v>
      </c>
      <c r="F457" s="28">
        <v>1.04502314892686</v>
      </c>
      <c r="G457" s="28">
        <v>108.0</v>
      </c>
      <c r="H457" s="28">
        <v>2.64423076923077</v>
      </c>
      <c r="I457" s="28">
        <v>1.63052358754159</v>
      </c>
      <c r="J457" s="28">
        <v>104.0</v>
      </c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" t="s">
        <v>959</v>
      </c>
      <c r="B458" s="4" t="s">
        <v>960</v>
      </c>
      <c r="C458" s="4" t="s">
        <v>11</v>
      </c>
      <c r="D458" s="4" t="s">
        <v>46</v>
      </c>
      <c r="E458" s="4">
        <v>4.82352941176471</v>
      </c>
      <c r="F458" s="4">
        <v>1.18915699157493</v>
      </c>
      <c r="G458" s="4">
        <v>102.0</v>
      </c>
      <c r="H458" s="4">
        <v>4.82178217821782</v>
      </c>
      <c r="I458" s="4">
        <v>1.75724807357391</v>
      </c>
      <c r="J458" s="4">
        <v>101.0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 t="s">
        <v>961</v>
      </c>
      <c r="B459" s="4" t="s">
        <v>962</v>
      </c>
      <c r="C459" s="4" t="s">
        <v>25</v>
      </c>
      <c r="D459" s="4" t="s">
        <v>46</v>
      </c>
      <c r="E459" s="4">
        <v>4.53921568627451</v>
      </c>
      <c r="F459" s="4">
        <v>1.07787440833686</v>
      </c>
      <c r="G459" s="4">
        <v>102.0</v>
      </c>
      <c r="H459" s="4">
        <v>3.24752475247525</v>
      </c>
      <c r="I459" s="4">
        <v>1.6149671240868</v>
      </c>
      <c r="J459" s="4">
        <v>101.0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 t="s">
        <v>963</v>
      </c>
      <c r="B460" s="4" t="s">
        <v>964</v>
      </c>
      <c r="C460" s="4" t="s">
        <v>11</v>
      </c>
      <c r="D460" s="4" t="s">
        <v>12</v>
      </c>
      <c r="E460" s="4">
        <v>4.81372549019608</v>
      </c>
      <c r="F460" s="4">
        <v>0.972191483368331</v>
      </c>
      <c r="G460" s="4">
        <v>102.0</v>
      </c>
      <c r="H460" s="4">
        <v>3.45544554455446</v>
      </c>
      <c r="I460" s="4">
        <v>1.62803410575607</v>
      </c>
      <c r="J460" s="4">
        <v>101.0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 t="s">
        <v>965</v>
      </c>
      <c r="B461" s="4" t="s">
        <v>966</v>
      </c>
      <c r="C461" s="4" t="s">
        <v>25</v>
      </c>
      <c r="D461" s="4" t="s">
        <v>12</v>
      </c>
      <c r="E461" s="4">
        <v>4.53921568627451</v>
      </c>
      <c r="F461" s="4">
        <v>0.929937383471192</v>
      </c>
      <c r="G461" s="4">
        <v>102.0</v>
      </c>
      <c r="H461" s="4">
        <v>2.27722772277228</v>
      </c>
      <c r="I461" s="4">
        <v>1.38649783181358</v>
      </c>
      <c r="J461" s="4">
        <v>101.0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 t="s">
        <v>967</v>
      </c>
      <c r="B462" s="4" t="s">
        <v>968</v>
      </c>
      <c r="C462" s="4" t="s">
        <v>25</v>
      </c>
      <c r="D462" s="4" t="s">
        <v>12</v>
      </c>
      <c r="E462" s="4">
        <v>4.54455445544554</v>
      </c>
      <c r="F462" s="4">
        <v>1.12716238825865</v>
      </c>
      <c r="G462" s="4">
        <v>101.0</v>
      </c>
      <c r="H462" s="4">
        <v>3.56310679611651</v>
      </c>
      <c r="I462" s="4">
        <v>1.58837630075385</v>
      </c>
      <c r="J462" s="4">
        <v>103.0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 t="s">
        <v>969</v>
      </c>
      <c r="B463" s="4" t="s">
        <v>970</v>
      </c>
      <c r="C463" s="4" t="s">
        <v>11</v>
      </c>
      <c r="D463" s="4" t="s">
        <v>46</v>
      </c>
      <c r="E463" s="4">
        <v>4.80392156862745</v>
      </c>
      <c r="F463" s="4">
        <v>1.15217586396799</v>
      </c>
      <c r="G463" s="4">
        <v>102.0</v>
      </c>
      <c r="H463" s="4">
        <v>5.20792079207921</v>
      </c>
      <c r="I463" s="4">
        <v>1.53829016562655</v>
      </c>
      <c r="J463" s="4">
        <v>101.0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 t="s">
        <v>971</v>
      </c>
      <c r="B464" s="4" t="s">
        <v>972</v>
      </c>
      <c r="C464" s="4" t="s">
        <v>11</v>
      </c>
      <c r="D464" s="4" t="s">
        <v>12</v>
      </c>
      <c r="E464" s="4">
        <v>4.80392156862745</v>
      </c>
      <c r="F464" s="4">
        <v>1.23512308030033</v>
      </c>
      <c r="G464" s="4">
        <v>102.0</v>
      </c>
      <c r="H464" s="4">
        <v>4.45544554455446</v>
      </c>
      <c r="I464" s="4">
        <v>1.7235124164058</v>
      </c>
      <c r="J464" s="4">
        <v>101.0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 t="s">
        <v>973</v>
      </c>
      <c r="B465" s="4" t="s">
        <v>974</v>
      </c>
      <c r="C465" s="4" t="s">
        <v>39</v>
      </c>
      <c r="D465" s="4" t="s">
        <v>12</v>
      </c>
      <c r="E465" s="4">
        <v>4.54901960784314</v>
      </c>
      <c r="F465" s="4">
        <v>0.960893262021263</v>
      </c>
      <c r="G465" s="4">
        <v>102.0</v>
      </c>
      <c r="H465" s="4">
        <v>2.66336633663366</v>
      </c>
      <c r="I465" s="4">
        <v>1.47835873672646</v>
      </c>
      <c r="J465" s="4">
        <v>101.0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 t="s">
        <v>975</v>
      </c>
      <c r="B466" s="4" t="s">
        <v>976</v>
      </c>
      <c r="C466" s="4" t="s">
        <v>15</v>
      </c>
      <c r="D466" s="4" t="s">
        <v>12</v>
      </c>
      <c r="E466" s="4">
        <v>4.54901960784314</v>
      </c>
      <c r="F466" s="4">
        <v>0.950533471688317</v>
      </c>
      <c r="G466" s="4">
        <v>102.0</v>
      </c>
      <c r="H466" s="4">
        <v>2.34653465346535</v>
      </c>
      <c r="I466" s="4">
        <v>1.47942991428696</v>
      </c>
      <c r="J466" s="4">
        <v>101.0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 t="s">
        <v>977</v>
      </c>
      <c r="B467" s="4" t="s">
        <v>978</v>
      </c>
      <c r="C467" s="4" t="s">
        <v>39</v>
      </c>
      <c r="D467" s="4" t="s">
        <v>12</v>
      </c>
      <c r="E467" s="4">
        <v>4.54901960784314</v>
      </c>
      <c r="F467" s="4">
        <v>0.816020905629021</v>
      </c>
      <c r="G467" s="4">
        <v>102.0</v>
      </c>
      <c r="H467" s="4">
        <v>2.25742574257426</v>
      </c>
      <c r="I467" s="4">
        <v>1.43981571978177</v>
      </c>
      <c r="J467" s="4">
        <v>101.0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 t="s">
        <v>979</v>
      </c>
      <c r="B468" s="4" t="s">
        <v>980</v>
      </c>
      <c r="C468" s="4" t="s">
        <v>11</v>
      </c>
      <c r="D468" s="4" t="s">
        <v>46</v>
      </c>
      <c r="E468" s="4">
        <v>4.80392156862745</v>
      </c>
      <c r="F468" s="4">
        <v>1.06277439728768</v>
      </c>
      <c r="G468" s="4">
        <v>102.0</v>
      </c>
      <c r="H468" s="4">
        <v>3.9009900990099</v>
      </c>
      <c r="I468" s="4">
        <v>1.75786774528148</v>
      </c>
      <c r="J468" s="4">
        <v>101.0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 t="s">
        <v>981</v>
      </c>
      <c r="B469" s="4" t="s">
        <v>982</v>
      </c>
      <c r="C469" s="4" t="s">
        <v>15</v>
      </c>
      <c r="D469" s="4" t="s">
        <v>12</v>
      </c>
      <c r="E469" s="4">
        <v>4.55882352941176</v>
      </c>
      <c r="F469" s="4">
        <v>1.02998153796551</v>
      </c>
      <c r="G469" s="4">
        <v>102.0</v>
      </c>
      <c r="H469" s="4">
        <v>2.71287128712871</v>
      </c>
      <c r="I469" s="4">
        <v>1.61453791323317</v>
      </c>
      <c r="J469" s="4">
        <v>101.0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 t="s">
        <v>983</v>
      </c>
      <c r="B470" s="4" t="s">
        <v>984</v>
      </c>
      <c r="C470" s="4" t="s">
        <v>25</v>
      </c>
      <c r="D470" s="4" t="s">
        <v>12</v>
      </c>
      <c r="E470" s="4">
        <v>4.55882352941176</v>
      </c>
      <c r="F470" s="4">
        <v>1.01057310876243</v>
      </c>
      <c r="G470" s="4">
        <v>102.0</v>
      </c>
      <c r="H470" s="4">
        <v>2.42574257425743</v>
      </c>
      <c r="I470" s="4">
        <v>1.53196954704371</v>
      </c>
      <c r="J470" s="4">
        <v>101.0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8" t="s">
        <v>985</v>
      </c>
      <c r="B471" s="19" t="s">
        <v>986</v>
      </c>
      <c r="C471" s="19" t="s">
        <v>11</v>
      </c>
      <c r="D471" s="19" t="s">
        <v>12</v>
      </c>
      <c r="E471" s="19">
        <v>4.8019801980198</v>
      </c>
      <c r="F471" s="19">
        <v>1.28856355668006</v>
      </c>
      <c r="G471" s="19">
        <v>101.0</v>
      </c>
      <c r="H471" s="19">
        <v>3.66990291262136</v>
      </c>
      <c r="I471" s="19">
        <v>1.530015695899</v>
      </c>
      <c r="J471" s="19">
        <v>103.0</v>
      </c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4" t="s">
        <v>987</v>
      </c>
      <c r="B472" s="25" t="s">
        <v>988</v>
      </c>
      <c r="C472" s="25" t="s">
        <v>39</v>
      </c>
      <c r="D472" s="25" t="s">
        <v>12</v>
      </c>
      <c r="E472" s="25">
        <v>4.56481481481481</v>
      </c>
      <c r="F472" s="25">
        <v>0.930010030577483</v>
      </c>
      <c r="G472" s="25">
        <v>108.0</v>
      </c>
      <c r="H472" s="25">
        <v>2.33653846153846</v>
      </c>
      <c r="I472" s="25">
        <v>1.51760271431833</v>
      </c>
      <c r="J472" s="25">
        <v>104.0</v>
      </c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7" t="s">
        <v>989</v>
      </c>
      <c r="B473" s="28" t="s">
        <v>990</v>
      </c>
      <c r="C473" s="28" t="s">
        <v>15</v>
      </c>
      <c r="D473" s="28" t="s">
        <v>12</v>
      </c>
      <c r="E473" s="28">
        <v>4.56862745098039</v>
      </c>
      <c r="F473" s="28">
        <v>1.1389573477664</v>
      </c>
      <c r="G473" s="28">
        <v>102.0</v>
      </c>
      <c r="H473" s="28">
        <v>2.41584158415842</v>
      </c>
      <c r="I473" s="28">
        <v>1.36577689783268</v>
      </c>
      <c r="J473" s="28">
        <v>101.0</v>
      </c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" t="s">
        <v>991</v>
      </c>
      <c r="B474" s="4" t="s">
        <v>992</v>
      </c>
      <c r="C474" s="4" t="s">
        <v>15</v>
      </c>
      <c r="D474" s="4" t="s">
        <v>12</v>
      </c>
      <c r="E474" s="4">
        <v>4.57407407407407</v>
      </c>
      <c r="F474" s="4">
        <v>1.12908617175431</v>
      </c>
      <c r="G474" s="4">
        <v>108.0</v>
      </c>
      <c r="H474" s="4">
        <v>2.79807692307692</v>
      </c>
      <c r="I474" s="4">
        <v>1.71447185500323</v>
      </c>
      <c r="J474" s="4">
        <v>104.0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 t="s">
        <v>993</v>
      </c>
      <c r="B475" s="4" t="s">
        <v>994</v>
      </c>
      <c r="C475" s="4" t="s">
        <v>11</v>
      </c>
      <c r="D475" s="4" t="s">
        <v>12</v>
      </c>
      <c r="E475" s="4">
        <v>4.77777777777778</v>
      </c>
      <c r="F475" s="4">
        <v>1.01698963257871</v>
      </c>
      <c r="G475" s="4">
        <v>108.0</v>
      </c>
      <c r="H475" s="4">
        <v>3.86538461538462</v>
      </c>
      <c r="I475" s="4">
        <v>1.74632869996021</v>
      </c>
      <c r="J475" s="4">
        <v>104.0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 t="s">
        <v>995</v>
      </c>
      <c r="B476" s="4" t="s">
        <v>996</v>
      </c>
      <c r="C476" s="4" t="s">
        <v>15</v>
      </c>
      <c r="D476" s="4" t="s">
        <v>12</v>
      </c>
      <c r="E476" s="4">
        <v>4.57843137254902</v>
      </c>
      <c r="F476" s="4">
        <v>0.883694702330398</v>
      </c>
      <c r="G476" s="4">
        <v>102.0</v>
      </c>
      <c r="H476" s="4">
        <v>2.33663366336634</v>
      </c>
      <c r="I476" s="4">
        <v>1.50517259955642</v>
      </c>
      <c r="J476" s="4">
        <v>101.0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 t="s">
        <v>997</v>
      </c>
      <c r="B477" s="4" t="s">
        <v>998</v>
      </c>
      <c r="C477" s="4" t="s">
        <v>11</v>
      </c>
      <c r="D477" s="4" t="s">
        <v>46</v>
      </c>
      <c r="E477" s="4">
        <v>4.76851851851852</v>
      </c>
      <c r="F477" s="4">
        <v>1.18089528432925</v>
      </c>
      <c r="G477" s="4">
        <v>108.0</v>
      </c>
      <c r="H477" s="4">
        <v>3.79807692307692</v>
      </c>
      <c r="I477" s="4">
        <v>1.87668271517667</v>
      </c>
      <c r="J477" s="4">
        <v>104.0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 t="s">
        <v>999</v>
      </c>
      <c r="B478" s="4" t="s">
        <v>1000</v>
      </c>
      <c r="C478" s="4" t="s">
        <v>25</v>
      </c>
      <c r="D478" s="17" t="s">
        <v>1001</v>
      </c>
      <c r="E478" s="4">
        <v>4.58333333333333</v>
      </c>
      <c r="F478" s="4">
        <v>1.58924539784749</v>
      </c>
      <c r="G478" s="4">
        <v>108.0</v>
      </c>
      <c r="H478" s="4">
        <v>3.56730769230769</v>
      </c>
      <c r="I478" s="4">
        <v>1.77777226733442</v>
      </c>
      <c r="J478" s="4">
        <v>104.0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 t="s">
        <v>1002</v>
      </c>
      <c r="B479" s="4" t="s">
        <v>1003</v>
      </c>
      <c r="C479" s="4" t="s">
        <v>39</v>
      </c>
      <c r="D479" s="4" t="s">
        <v>46</v>
      </c>
      <c r="E479" s="4">
        <v>4.58823529411765</v>
      </c>
      <c r="F479" s="4">
        <v>1.2847386078978</v>
      </c>
      <c r="G479" s="4">
        <v>102.0</v>
      </c>
      <c r="H479" s="4">
        <v>4.79207920792079</v>
      </c>
      <c r="I479" s="4">
        <v>1.71648962527111</v>
      </c>
      <c r="J479" s="4">
        <v>101.0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8" t="s">
        <v>1004</v>
      </c>
      <c r="B480" s="19" t="s">
        <v>1005</v>
      </c>
      <c r="C480" s="19" t="s">
        <v>11</v>
      </c>
      <c r="D480" s="19" t="s">
        <v>12</v>
      </c>
      <c r="E480" s="19">
        <v>4.76851851851852</v>
      </c>
      <c r="F480" s="19">
        <v>1.19661892435359</v>
      </c>
      <c r="G480" s="19">
        <v>108.0</v>
      </c>
      <c r="H480" s="19">
        <v>3.57692307692308</v>
      </c>
      <c r="I480" s="19">
        <v>1.59302062525003</v>
      </c>
      <c r="J480" s="19">
        <v>104.0</v>
      </c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" t="s">
        <v>1006</v>
      </c>
      <c r="B481" s="4" t="s">
        <v>1007</v>
      </c>
      <c r="C481" s="4" t="s">
        <v>39</v>
      </c>
      <c r="D481" s="4" t="s">
        <v>46</v>
      </c>
      <c r="E481" s="4">
        <v>4.59405940594059</v>
      </c>
      <c r="F481" s="4">
        <v>1.21801656656863</v>
      </c>
      <c r="G481" s="4">
        <v>101.0</v>
      </c>
      <c r="H481" s="4">
        <v>4.45631067961165</v>
      </c>
      <c r="I481" s="4">
        <v>1.67903274576627</v>
      </c>
      <c r="J481" s="4">
        <v>103.0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 t="s">
        <v>1008</v>
      </c>
      <c r="B482" s="4" t="s">
        <v>1009</v>
      </c>
      <c r="C482" s="4" t="s">
        <v>15</v>
      </c>
      <c r="D482" s="4" t="s">
        <v>12</v>
      </c>
      <c r="E482" s="4">
        <v>4.59405940594059</v>
      </c>
      <c r="F482" s="4">
        <v>0.907504466344736</v>
      </c>
      <c r="G482" s="4">
        <v>101.0</v>
      </c>
      <c r="H482" s="4">
        <v>2.86407766990291</v>
      </c>
      <c r="I482" s="4">
        <v>1.52783676169244</v>
      </c>
      <c r="J482" s="4">
        <v>103.0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 t="s">
        <v>1010</v>
      </c>
      <c r="B483" s="4" t="s">
        <v>1011</v>
      </c>
      <c r="C483" s="4" t="s">
        <v>39</v>
      </c>
      <c r="D483" s="4" t="s">
        <v>12</v>
      </c>
      <c r="E483" s="4">
        <v>4.6078431372549</v>
      </c>
      <c r="F483" s="4">
        <v>1.24405009883758</v>
      </c>
      <c r="G483" s="4">
        <v>102.0</v>
      </c>
      <c r="H483" s="4">
        <v>4.75247524752475</v>
      </c>
      <c r="I483" s="4">
        <v>1.40289657918222</v>
      </c>
      <c r="J483" s="4">
        <v>101.0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 t="s">
        <v>1012</v>
      </c>
      <c r="B484" s="4" t="s">
        <v>1013</v>
      </c>
      <c r="C484" s="4" t="s">
        <v>25</v>
      </c>
      <c r="D484" s="4" t="s">
        <v>12</v>
      </c>
      <c r="E484" s="4">
        <v>4.6078431372549</v>
      </c>
      <c r="F484" s="4">
        <v>1.40125023909943</v>
      </c>
      <c r="G484" s="4">
        <v>102.0</v>
      </c>
      <c r="H484" s="4">
        <v>4.54455445544554</v>
      </c>
      <c r="I484" s="4">
        <v>1.5654057140259</v>
      </c>
      <c r="J484" s="4">
        <v>101.0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 t="s">
        <v>1014</v>
      </c>
      <c r="B485" s="4" t="s">
        <v>1015</v>
      </c>
      <c r="C485" s="4" t="s">
        <v>39</v>
      </c>
      <c r="D485" s="4" t="s">
        <v>12</v>
      </c>
      <c r="E485" s="4">
        <v>4.61111111111111</v>
      </c>
      <c r="F485" s="4">
        <v>1.13428583759594</v>
      </c>
      <c r="G485" s="4">
        <v>108.0</v>
      </c>
      <c r="H485" s="4">
        <v>3.16346153846154</v>
      </c>
      <c r="I485" s="4">
        <v>1.72424502641814</v>
      </c>
      <c r="J485" s="4">
        <v>104.0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 t="s">
        <v>1016</v>
      </c>
      <c r="B486" s="4" t="s">
        <v>1017</v>
      </c>
      <c r="C486" s="4" t="s">
        <v>11</v>
      </c>
      <c r="D486" s="4" t="s">
        <v>1018</v>
      </c>
      <c r="E486" s="4">
        <v>4.76470588235294</v>
      </c>
      <c r="F486" s="4">
        <v>1.42242625372699</v>
      </c>
      <c r="G486" s="4">
        <v>102.0</v>
      </c>
      <c r="H486" s="4">
        <v>4.77227722772277</v>
      </c>
      <c r="I486" s="4">
        <v>1.69635602465291</v>
      </c>
      <c r="J486" s="4">
        <v>101.0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 t="s">
        <v>1019</v>
      </c>
      <c r="B487" s="4" t="s">
        <v>1020</v>
      </c>
      <c r="C487" s="4" t="s">
        <v>11</v>
      </c>
      <c r="D487" s="4" t="s">
        <v>46</v>
      </c>
      <c r="E487" s="4">
        <v>4.76470588235294</v>
      </c>
      <c r="F487" s="4">
        <v>1.17882699364884</v>
      </c>
      <c r="G487" s="4">
        <v>102.0</v>
      </c>
      <c r="H487" s="4">
        <v>4.65346534653465</v>
      </c>
      <c r="I487" s="4">
        <v>1.71718166519653</v>
      </c>
      <c r="J487" s="4">
        <v>101.0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 t="s">
        <v>1021</v>
      </c>
      <c r="B488" s="4" t="s">
        <v>1022</v>
      </c>
      <c r="C488" s="4" t="s">
        <v>39</v>
      </c>
      <c r="D488" s="4" t="s">
        <v>12</v>
      </c>
      <c r="E488" s="4">
        <v>4.62376237623762</v>
      </c>
      <c r="F488" s="4">
        <v>1.13005738923751</v>
      </c>
      <c r="G488" s="4">
        <v>101.0</v>
      </c>
      <c r="H488" s="4">
        <v>4.23300970873786</v>
      </c>
      <c r="I488" s="4">
        <v>1.70468721468333</v>
      </c>
      <c r="J488" s="4">
        <v>103.0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 t="s">
        <v>1023</v>
      </c>
      <c r="B489" s="4" t="s">
        <v>1024</v>
      </c>
      <c r="C489" s="4" t="s">
        <v>25</v>
      </c>
      <c r="D489" s="4" t="s">
        <v>1025</v>
      </c>
      <c r="E489" s="4">
        <v>4.62745098039216</v>
      </c>
      <c r="F489" s="4">
        <v>1.47535240715432</v>
      </c>
      <c r="G489" s="4">
        <v>102.0</v>
      </c>
      <c r="H489" s="4">
        <v>4.21782178217822</v>
      </c>
      <c r="I489" s="4">
        <v>1.70648152873707</v>
      </c>
      <c r="J489" s="4">
        <v>101.0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 t="s">
        <v>1026</v>
      </c>
      <c r="B490" s="4" t="s">
        <v>1027</v>
      </c>
      <c r="C490" s="4" t="s">
        <v>25</v>
      </c>
      <c r="D490" s="4" t="s">
        <v>12</v>
      </c>
      <c r="E490" s="4">
        <v>4.62745098039216</v>
      </c>
      <c r="F490" s="4">
        <v>1.0616778112031</v>
      </c>
      <c r="G490" s="4">
        <v>102.0</v>
      </c>
      <c r="H490" s="4">
        <v>2.63366336633663</v>
      </c>
      <c r="I490" s="4">
        <v>1.51474600033951</v>
      </c>
      <c r="J490" s="4">
        <v>101.0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 t="s">
        <v>1028</v>
      </c>
      <c r="B491" s="4" t="s">
        <v>1029</v>
      </c>
      <c r="C491" s="4" t="s">
        <v>39</v>
      </c>
      <c r="D491" s="4" t="s">
        <v>12</v>
      </c>
      <c r="E491" s="4">
        <v>4.62745098039216</v>
      </c>
      <c r="F491" s="4">
        <v>0.855055653651044</v>
      </c>
      <c r="G491" s="4">
        <v>102.0</v>
      </c>
      <c r="H491" s="4">
        <v>2.28712871287129</v>
      </c>
      <c r="I491" s="4">
        <v>1.43761353404429</v>
      </c>
      <c r="J491" s="4">
        <v>101.0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 t="s">
        <v>1030</v>
      </c>
      <c r="B492" s="4" t="s">
        <v>1031</v>
      </c>
      <c r="C492" s="4" t="s">
        <v>15</v>
      </c>
      <c r="D492" s="4" t="s">
        <v>12</v>
      </c>
      <c r="E492" s="4">
        <v>4.62745098039216</v>
      </c>
      <c r="F492" s="4">
        <v>0.932595320718881</v>
      </c>
      <c r="G492" s="4">
        <v>102.0</v>
      </c>
      <c r="H492" s="4">
        <v>2.08910891089109</v>
      </c>
      <c r="I492" s="4">
        <v>1.43595967841016</v>
      </c>
      <c r="J492" s="4">
        <v>101.0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 t="s">
        <v>1032</v>
      </c>
      <c r="B493" s="4" t="s">
        <v>1033</v>
      </c>
      <c r="C493" s="4" t="s">
        <v>25</v>
      </c>
      <c r="D493" s="4" t="s">
        <v>12</v>
      </c>
      <c r="E493" s="4">
        <v>4.63725490196078</v>
      </c>
      <c r="F493" s="4">
        <v>1.13267593161718</v>
      </c>
      <c r="G493" s="4">
        <v>102.0</v>
      </c>
      <c r="H493" s="4">
        <v>3.89108910891089</v>
      </c>
      <c r="I493" s="4">
        <v>1.52905846911758</v>
      </c>
      <c r="J493" s="4">
        <v>101.0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 t="s">
        <v>1034</v>
      </c>
      <c r="B494" s="4" t="s">
        <v>1035</v>
      </c>
      <c r="C494" s="4" t="s">
        <v>15</v>
      </c>
      <c r="D494" s="4" t="s">
        <v>12</v>
      </c>
      <c r="E494" s="4">
        <v>4.63725490196078</v>
      </c>
      <c r="F494" s="4">
        <v>0.876415016368574</v>
      </c>
      <c r="G494" s="4">
        <v>102.0</v>
      </c>
      <c r="H494" s="4">
        <v>2.06930693069307</v>
      </c>
      <c r="I494" s="4">
        <v>1.40895298532332</v>
      </c>
      <c r="J494" s="4">
        <v>101.0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 t="s">
        <v>1036</v>
      </c>
      <c r="B495" s="4" t="s">
        <v>1037</v>
      </c>
      <c r="C495" s="4" t="s">
        <v>11</v>
      </c>
      <c r="D495" s="4" t="s">
        <v>12</v>
      </c>
      <c r="E495" s="4">
        <v>4.75247524752475</v>
      </c>
      <c r="F495" s="4">
        <v>1.37408835665003</v>
      </c>
      <c r="G495" s="4">
        <v>101.0</v>
      </c>
      <c r="H495" s="4">
        <v>3.48543689320388</v>
      </c>
      <c r="I495" s="4">
        <v>1.67369543970821</v>
      </c>
      <c r="J495" s="4">
        <v>103.0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 t="s">
        <v>1038</v>
      </c>
      <c r="B496" s="4" t="s">
        <v>1039</v>
      </c>
      <c r="C496" s="4" t="s">
        <v>39</v>
      </c>
      <c r="D496" s="4" t="s">
        <v>12</v>
      </c>
      <c r="E496" s="4">
        <v>4.64705882352941</v>
      </c>
      <c r="F496" s="4">
        <v>0.929676392367438</v>
      </c>
      <c r="G496" s="4">
        <v>102.0</v>
      </c>
      <c r="H496" s="4">
        <v>2.87128712871287</v>
      </c>
      <c r="I496" s="4">
        <v>1.68916172308417</v>
      </c>
      <c r="J496" s="4">
        <v>101.0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 t="s">
        <v>1040</v>
      </c>
      <c r="B497" s="4" t="s">
        <v>1041</v>
      </c>
      <c r="C497" s="4" t="s">
        <v>11</v>
      </c>
      <c r="D497" s="4" t="s">
        <v>1042</v>
      </c>
      <c r="E497" s="4">
        <v>4.75</v>
      </c>
      <c r="F497" s="4">
        <v>1.87020414698553</v>
      </c>
      <c r="G497" s="4">
        <v>108.0</v>
      </c>
      <c r="H497" s="4">
        <v>4.92307692307692</v>
      </c>
      <c r="I497" s="4">
        <v>1.80448366975535</v>
      </c>
      <c r="J497" s="4">
        <v>104.0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 t="s">
        <v>1043</v>
      </c>
      <c r="B498" s="4" t="s">
        <v>1044</v>
      </c>
      <c r="C498" s="4" t="s">
        <v>39</v>
      </c>
      <c r="D498" s="4" t="s">
        <v>12</v>
      </c>
      <c r="E498" s="4">
        <v>4.66666666666667</v>
      </c>
      <c r="F498" s="4">
        <v>1.4646550861729</v>
      </c>
      <c r="G498" s="4">
        <v>102.0</v>
      </c>
      <c r="H498" s="4">
        <v>4.4</v>
      </c>
      <c r="I498" s="4">
        <v>1.88025358272589</v>
      </c>
      <c r="J498" s="4">
        <v>100.0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 t="s">
        <v>1045</v>
      </c>
      <c r="B499" s="4" t="s">
        <v>1046</v>
      </c>
      <c r="C499" s="4" t="s">
        <v>39</v>
      </c>
      <c r="D499" s="4" t="s">
        <v>12</v>
      </c>
      <c r="E499" s="4">
        <v>4.66666666666667</v>
      </c>
      <c r="F499" s="4">
        <v>1.51777151213096</v>
      </c>
      <c r="G499" s="4">
        <v>102.0</v>
      </c>
      <c r="H499" s="4">
        <v>4.28712871287129</v>
      </c>
      <c r="I499" s="4">
        <v>1.70491427153019</v>
      </c>
      <c r="J499" s="4">
        <v>101.0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 t="s">
        <v>1047</v>
      </c>
      <c r="B500" s="4" t="s">
        <v>1048</v>
      </c>
      <c r="C500" s="4" t="s">
        <v>11</v>
      </c>
      <c r="D500" s="4" t="s">
        <v>12</v>
      </c>
      <c r="E500" s="4">
        <v>4.7156862745098</v>
      </c>
      <c r="F500" s="4">
        <v>1.1550787635944</v>
      </c>
      <c r="G500" s="4">
        <v>102.0</v>
      </c>
      <c r="H500" s="4">
        <v>3.07920792079208</v>
      </c>
      <c r="I500" s="4">
        <v>1.41903606942764</v>
      </c>
      <c r="J500" s="4">
        <v>101.0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 t="s">
        <v>1049</v>
      </c>
      <c r="B501" s="4" t="s">
        <v>1050</v>
      </c>
      <c r="C501" s="4" t="s">
        <v>15</v>
      </c>
      <c r="D501" s="4" t="s">
        <v>12</v>
      </c>
      <c r="E501" s="4">
        <v>4.66666666666667</v>
      </c>
      <c r="F501" s="4">
        <v>1.01798999521755</v>
      </c>
      <c r="G501" s="4">
        <v>102.0</v>
      </c>
      <c r="H501" s="4">
        <v>2.77227722772277</v>
      </c>
      <c r="I501" s="4">
        <v>1.51579146401352</v>
      </c>
      <c r="J501" s="4">
        <v>101.0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 t="s">
        <v>1051</v>
      </c>
      <c r="B502" s="4" t="s">
        <v>1052</v>
      </c>
      <c r="C502" s="4" t="s">
        <v>11</v>
      </c>
      <c r="D502" s="4" t="s">
        <v>1053</v>
      </c>
      <c r="E502" s="4">
        <v>4.71287128712871</v>
      </c>
      <c r="F502" s="4">
        <v>1.45145880867055</v>
      </c>
      <c r="G502" s="4">
        <v>101.0</v>
      </c>
      <c r="H502" s="4">
        <v>3.61165048543689</v>
      </c>
      <c r="I502" s="4">
        <v>1.91604683775869</v>
      </c>
      <c r="J502" s="4">
        <v>103.0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 t="s">
        <v>1054</v>
      </c>
      <c r="B503" s="4" t="s">
        <v>1055</v>
      </c>
      <c r="C503" s="4" t="s">
        <v>11</v>
      </c>
      <c r="D503" s="4" t="s">
        <v>12</v>
      </c>
      <c r="E503" s="4">
        <v>4.70588235294118</v>
      </c>
      <c r="F503" s="4">
        <v>1.16541103354621</v>
      </c>
      <c r="G503" s="4">
        <v>102.0</v>
      </c>
      <c r="H503" s="4">
        <v>3.63366336633663</v>
      </c>
      <c r="I503" s="4">
        <v>1.58570345447834</v>
      </c>
      <c r="J503" s="4">
        <v>101.0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7" t="s">
        <v>1056</v>
      </c>
      <c r="B504" s="28" t="s">
        <v>1057</v>
      </c>
      <c r="C504" s="28" t="s">
        <v>15</v>
      </c>
      <c r="D504" s="28" t="s">
        <v>12</v>
      </c>
      <c r="E504" s="28">
        <v>4.67647058823529</v>
      </c>
      <c r="F504" s="28">
        <v>0.956082815770439</v>
      </c>
      <c r="G504" s="28">
        <v>102.0</v>
      </c>
      <c r="H504" s="28">
        <v>2.41584158415842</v>
      </c>
      <c r="I504" s="28">
        <v>1.48504092019495</v>
      </c>
      <c r="J504" s="28">
        <v>101.0</v>
      </c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" t="s">
        <v>1058</v>
      </c>
      <c r="B505" s="4" t="s">
        <v>1059</v>
      </c>
      <c r="C505" s="4" t="s">
        <v>11</v>
      </c>
      <c r="D505" s="4" t="s">
        <v>1060</v>
      </c>
      <c r="E505" s="4">
        <v>4.69444444444444</v>
      </c>
      <c r="F505" s="4">
        <v>1.68810203291159</v>
      </c>
      <c r="G505" s="4">
        <v>108.0</v>
      </c>
      <c r="H505" s="4">
        <v>5.45192307692308</v>
      </c>
      <c r="I505" s="4">
        <v>1.42706030714857</v>
      </c>
      <c r="J505" s="4">
        <v>104.0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 t="s">
        <v>1061</v>
      </c>
      <c r="B506" s="4" t="s">
        <v>1062</v>
      </c>
      <c r="C506" s="4" t="s">
        <v>11</v>
      </c>
      <c r="D506" s="4" t="s">
        <v>12</v>
      </c>
      <c r="E506" s="4">
        <v>4.68627450980392</v>
      </c>
      <c r="F506" s="4">
        <v>1.11675264868892</v>
      </c>
      <c r="G506" s="4">
        <v>102.0</v>
      </c>
      <c r="H506" s="4">
        <v>4.06930693069307</v>
      </c>
      <c r="I506" s="4">
        <v>1.5182715550426</v>
      </c>
      <c r="J506" s="4">
        <v>101.0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 t="s">
        <v>1063</v>
      </c>
      <c r="B507" s="4" t="s">
        <v>1064</v>
      </c>
      <c r="C507" s="4" t="s">
        <v>15</v>
      </c>
      <c r="D507" s="4" t="s">
        <v>12</v>
      </c>
      <c r="E507" s="4">
        <v>4.68518518518519</v>
      </c>
      <c r="F507" s="4">
        <v>1.18911062459953</v>
      </c>
      <c r="G507" s="4">
        <v>108.0</v>
      </c>
      <c r="H507" s="4">
        <v>2.86538461538462</v>
      </c>
      <c r="I507" s="4">
        <v>1.69555496718665</v>
      </c>
      <c r="J507" s="4">
        <v>104.0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 t="s">
        <v>1065</v>
      </c>
      <c r="B508" s="4" t="s">
        <v>1066</v>
      </c>
      <c r="C508" s="4" t="s">
        <v>11</v>
      </c>
      <c r="D508" s="4" t="s">
        <v>12</v>
      </c>
      <c r="E508" s="4">
        <v>4.68518518518519</v>
      </c>
      <c r="F508" s="4">
        <v>1.07345322885761</v>
      </c>
      <c r="G508" s="4">
        <v>108.0</v>
      </c>
      <c r="H508" s="4">
        <v>3.90384615384615</v>
      </c>
      <c r="I508" s="4">
        <v>1.63409801591463</v>
      </c>
      <c r="J508" s="4">
        <v>104.0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 t="s">
        <v>1067</v>
      </c>
      <c r="B509" s="4" t="s">
        <v>1068</v>
      </c>
      <c r="C509" s="4" t="s">
        <v>15</v>
      </c>
      <c r="D509" s="4" t="s">
        <v>12</v>
      </c>
      <c r="E509" s="4">
        <v>4.68627450980392</v>
      </c>
      <c r="F509" s="4">
        <v>0.954202711685196</v>
      </c>
      <c r="G509" s="4">
        <v>102.0</v>
      </c>
      <c r="H509" s="4">
        <v>2.34653465346535</v>
      </c>
      <c r="I509" s="4">
        <v>1.60272045949602</v>
      </c>
      <c r="J509" s="4">
        <v>101.0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 t="s">
        <v>1069</v>
      </c>
      <c r="B510" s="4" t="s">
        <v>1070</v>
      </c>
      <c r="C510" s="4" t="s">
        <v>11</v>
      </c>
      <c r="D510" s="4" t="s">
        <v>1071</v>
      </c>
      <c r="E510" s="4">
        <v>4.68316831683168</v>
      </c>
      <c r="F510" s="4">
        <v>1.02888962546336</v>
      </c>
      <c r="G510" s="4">
        <v>101.0</v>
      </c>
      <c r="H510" s="4">
        <v>4.03883495145631</v>
      </c>
      <c r="I510" s="4">
        <v>1.78183827800463</v>
      </c>
      <c r="J510" s="4">
        <v>103.0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1" t="s">
        <v>1072</v>
      </c>
      <c r="B511" s="22" t="s">
        <v>1073</v>
      </c>
      <c r="C511" s="22" t="s">
        <v>25</v>
      </c>
      <c r="D511" s="22" t="s">
        <v>46</v>
      </c>
      <c r="E511" s="22">
        <v>4.69444444444444</v>
      </c>
      <c r="F511" s="22">
        <v>1.28585644271717</v>
      </c>
      <c r="G511" s="22">
        <v>108.0</v>
      </c>
      <c r="H511" s="22">
        <v>3.20192307692308</v>
      </c>
      <c r="I511" s="22">
        <v>1.75919116284259</v>
      </c>
      <c r="J511" s="22">
        <v>104.0</v>
      </c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4" t="s">
        <v>1074</v>
      </c>
      <c r="B512" s="25" t="s">
        <v>1075</v>
      </c>
      <c r="C512" s="25" t="s">
        <v>39</v>
      </c>
      <c r="D512" s="25" t="s">
        <v>12</v>
      </c>
      <c r="E512" s="25">
        <v>4.7037037037037</v>
      </c>
      <c r="F512" s="25">
        <v>1.22481552499408</v>
      </c>
      <c r="G512" s="25">
        <v>108.0</v>
      </c>
      <c r="H512" s="25">
        <v>3.49038461538462</v>
      </c>
      <c r="I512" s="25">
        <v>1.80611255714626</v>
      </c>
      <c r="J512" s="25">
        <v>104.0</v>
      </c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" t="s">
        <v>1076</v>
      </c>
      <c r="B513" s="4" t="s">
        <v>1077</v>
      </c>
      <c r="C513" s="4" t="s">
        <v>11</v>
      </c>
      <c r="D513" s="4" t="s">
        <v>46</v>
      </c>
      <c r="E513" s="4">
        <v>4.67647058823529</v>
      </c>
      <c r="F513" s="4">
        <v>1.02601569773453</v>
      </c>
      <c r="G513" s="4">
        <v>102.0</v>
      </c>
      <c r="H513" s="4">
        <v>4.64356435643564</v>
      </c>
      <c r="I513" s="4">
        <v>1.52042203625074</v>
      </c>
      <c r="J513" s="4">
        <v>101.0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 t="s">
        <v>1078</v>
      </c>
      <c r="B514" s="4" t="s">
        <v>1079</v>
      </c>
      <c r="C514" s="4" t="s">
        <v>39</v>
      </c>
      <c r="D514" s="4" t="s">
        <v>12</v>
      </c>
      <c r="E514" s="4">
        <v>4.70588235294118</v>
      </c>
      <c r="F514" s="4">
        <v>0.885395646797897</v>
      </c>
      <c r="G514" s="4">
        <v>102.0</v>
      </c>
      <c r="H514" s="4">
        <v>3.06930693069307</v>
      </c>
      <c r="I514" s="4">
        <v>1.57643538239012</v>
      </c>
      <c r="J514" s="4">
        <v>101.0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1" t="s">
        <v>1080</v>
      </c>
      <c r="B515" s="22" t="s">
        <v>1081</v>
      </c>
      <c r="C515" s="22" t="s">
        <v>25</v>
      </c>
      <c r="D515" s="22" t="s">
        <v>12</v>
      </c>
      <c r="E515" s="22">
        <v>4.70588235294118</v>
      </c>
      <c r="F515" s="22">
        <v>1.0953387766016</v>
      </c>
      <c r="G515" s="22">
        <v>102.0</v>
      </c>
      <c r="H515" s="22">
        <v>2.8019801980198</v>
      </c>
      <c r="I515" s="22">
        <v>1.52328462199418</v>
      </c>
      <c r="J515" s="22">
        <v>101.0</v>
      </c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" t="s">
        <v>1082</v>
      </c>
      <c r="B516" s="4" t="s">
        <v>1083</v>
      </c>
      <c r="C516" s="4" t="s">
        <v>11</v>
      </c>
      <c r="D516" s="4" t="s">
        <v>12</v>
      </c>
      <c r="E516" s="4">
        <v>4.67592592592593</v>
      </c>
      <c r="F516" s="4">
        <v>0.905112206641411</v>
      </c>
      <c r="G516" s="4">
        <v>108.0</v>
      </c>
      <c r="H516" s="4">
        <v>2.18269230769231</v>
      </c>
      <c r="I516" s="4">
        <v>1.39182371858996</v>
      </c>
      <c r="J516" s="4">
        <v>104.0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 t="s">
        <v>1084</v>
      </c>
      <c r="B517" s="4" t="s">
        <v>1085</v>
      </c>
      <c r="C517" s="4" t="s">
        <v>25</v>
      </c>
      <c r="D517" s="4" t="s">
        <v>12</v>
      </c>
      <c r="E517" s="4">
        <v>4.7156862745098</v>
      </c>
      <c r="F517" s="4">
        <v>1.4649532887521</v>
      </c>
      <c r="G517" s="4">
        <v>102.0</v>
      </c>
      <c r="H517" s="4">
        <v>4.02970297029703</v>
      </c>
      <c r="I517" s="4">
        <v>1.68793036316404</v>
      </c>
      <c r="J517" s="4">
        <v>101.0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 t="s">
        <v>1086</v>
      </c>
      <c r="B518" s="4" t="s">
        <v>1087</v>
      </c>
      <c r="C518" s="4" t="s">
        <v>11</v>
      </c>
      <c r="D518" s="4" t="s">
        <v>12</v>
      </c>
      <c r="E518" s="4">
        <v>4.66666666666667</v>
      </c>
      <c r="F518" s="4">
        <v>1.11987740960395</v>
      </c>
      <c r="G518" s="4">
        <v>102.0</v>
      </c>
      <c r="H518" s="4">
        <v>3.14851485148515</v>
      </c>
      <c r="I518" s="4">
        <v>1.6024115489715</v>
      </c>
      <c r="J518" s="4">
        <v>101.0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 t="s">
        <v>1088</v>
      </c>
      <c r="B519" s="4" t="s">
        <v>1089</v>
      </c>
      <c r="C519" s="4" t="s">
        <v>15</v>
      </c>
      <c r="D519" s="4" t="s">
        <v>12</v>
      </c>
      <c r="E519" s="4">
        <v>4.72549019607843</v>
      </c>
      <c r="F519" s="4">
        <v>0.902766515269065</v>
      </c>
      <c r="G519" s="4">
        <v>102.0</v>
      </c>
      <c r="H519" s="4">
        <v>2.25742574257426</v>
      </c>
      <c r="I519" s="4">
        <v>1.42585739361645</v>
      </c>
      <c r="J519" s="4">
        <v>101.0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 t="s">
        <v>1090</v>
      </c>
      <c r="B520" s="4" t="s">
        <v>1091</v>
      </c>
      <c r="C520" s="4" t="s">
        <v>15</v>
      </c>
      <c r="D520" s="4" t="s">
        <v>12</v>
      </c>
      <c r="E520" s="4">
        <v>4.73267326732673</v>
      </c>
      <c r="F520" s="4">
        <v>0.798637453528331</v>
      </c>
      <c r="G520" s="4">
        <v>101.0</v>
      </c>
      <c r="H520" s="4">
        <v>2.59223300970874</v>
      </c>
      <c r="I520" s="4">
        <v>1.56829427263073</v>
      </c>
      <c r="J520" s="4">
        <v>103.0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 t="s">
        <v>1092</v>
      </c>
      <c r="B521" s="4" t="s">
        <v>1093</v>
      </c>
      <c r="C521" s="4" t="s">
        <v>25</v>
      </c>
      <c r="D521" s="4" t="s">
        <v>12</v>
      </c>
      <c r="E521" s="4">
        <v>4.74257425742574</v>
      </c>
      <c r="F521" s="4">
        <v>1.38313748663345</v>
      </c>
      <c r="G521" s="4">
        <v>101.0</v>
      </c>
      <c r="H521" s="4">
        <v>4.90291262135922</v>
      </c>
      <c r="I521" s="4">
        <v>1.58122912669659</v>
      </c>
      <c r="J521" s="4">
        <v>103.0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 t="s">
        <v>1094</v>
      </c>
      <c r="B522" s="4" t="s">
        <v>1095</v>
      </c>
      <c r="C522" s="4" t="s">
        <v>15</v>
      </c>
      <c r="D522" s="4" t="s">
        <v>12</v>
      </c>
      <c r="E522" s="4">
        <v>4.74509803921569</v>
      </c>
      <c r="F522" s="4">
        <v>1.01167711467274</v>
      </c>
      <c r="G522" s="4">
        <v>102.0</v>
      </c>
      <c r="H522" s="4">
        <v>2.53465346534653</v>
      </c>
      <c r="I522" s="4">
        <v>1.45989284836692</v>
      </c>
      <c r="J522" s="4">
        <v>101.0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 t="s">
        <v>1096</v>
      </c>
      <c r="B523" s="4" t="s">
        <v>1097</v>
      </c>
      <c r="C523" s="4" t="s">
        <v>11</v>
      </c>
      <c r="D523" s="4" t="s">
        <v>1098</v>
      </c>
      <c r="E523" s="4">
        <v>4.66336633663366</v>
      </c>
      <c r="F523" s="4">
        <v>1.06091684615499</v>
      </c>
      <c r="G523" s="4">
        <v>101.0</v>
      </c>
      <c r="H523" s="4">
        <v>3.40776699029126</v>
      </c>
      <c r="I523" s="4">
        <v>1.83878099648036</v>
      </c>
      <c r="J523" s="4">
        <v>103.0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 t="s">
        <v>1099</v>
      </c>
      <c r="B524" s="4" t="s">
        <v>1100</v>
      </c>
      <c r="C524" s="4" t="s">
        <v>39</v>
      </c>
      <c r="D524" s="4" t="s">
        <v>12</v>
      </c>
      <c r="E524" s="4">
        <v>4.75247524752475</v>
      </c>
      <c r="F524" s="4">
        <v>1.28379079755277</v>
      </c>
      <c r="G524" s="4">
        <v>101.0</v>
      </c>
      <c r="H524" s="4">
        <v>4.52427184466019</v>
      </c>
      <c r="I524" s="4">
        <v>1.80329034884533</v>
      </c>
      <c r="J524" s="4">
        <v>103.0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 t="s">
        <v>1101</v>
      </c>
      <c r="B525" s="4" t="s">
        <v>1102</v>
      </c>
      <c r="C525" s="4" t="s">
        <v>39</v>
      </c>
      <c r="D525" s="4" t="s">
        <v>12</v>
      </c>
      <c r="E525" s="4">
        <v>4.75247524752475</v>
      </c>
      <c r="F525" s="4">
        <v>1.02377673927531</v>
      </c>
      <c r="G525" s="4">
        <v>101.0</v>
      </c>
      <c r="H525" s="4">
        <v>3.78640776699029</v>
      </c>
      <c r="I525" s="4">
        <v>1.74136798510451</v>
      </c>
      <c r="J525" s="4">
        <v>103.0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 t="s">
        <v>1103</v>
      </c>
      <c r="B526" s="4" t="s">
        <v>1104</v>
      </c>
      <c r="C526" s="4" t="s">
        <v>11</v>
      </c>
      <c r="D526" s="4" t="s">
        <v>46</v>
      </c>
      <c r="E526" s="4">
        <v>4.64705882352941</v>
      </c>
      <c r="F526" s="4">
        <v>1.81657418204756</v>
      </c>
      <c r="G526" s="4">
        <v>102.0</v>
      </c>
      <c r="H526" s="4">
        <v>5.72277227722772</v>
      </c>
      <c r="I526" s="4">
        <v>1.66804563415506</v>
      </c>
      <c r="J526" s="4">
        <v>101.0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1" t="s">
        <v>1105</v>
      </c>
      <c r="B527" s="22" t="s">
        <v>1106</v>
      </c>
      <c r="C527" s="22" t="s">
        <v>25</v>
      </c>
      <c r="D527" s="22" t="s">
        <v>12</v>
      </c>
      <c r="E527" s="22">
        <v>4.75490196078431</v>
      </c>
      <c r="F527" s="22">
        <v>1.12078715717093</v>
      </c>
      <c r="G527" s="22">
        <v>102.0</v>
      </c>
      <c r="H527" s="22">
        <v>3.73267326732673</v>
      </c>
      <c r="I527" s="22">
        <v>1.64250472820574</v>
      </c>
      <c r="J527" s="22">
        <v>101.0</v>
      </c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7" t="s">
        <v>1107</v>
      </c>
      <c r="B528" s="28" t="s">
        <v>1108</v>
      </c>
      <c r="C528" s="28" t="s">
        <v>15</v>
      </c>
      <c r="D528" s="28" t="s">
        <v>12</v>
      </c>
      <c r="E528" s="28">
        <v>4.75490196078431</v>
      </c>
      <c r="F528" s="28">
        <v>0.958921367116694</v>
      </c>
      <c r="G528" s="28">
        <v>102.0</v>
      </c>
      <c r="H528" s="28">
        <v>2.30693069306931</v>
      </c>
      <c r="I528" s="28">
        <v>1.51487672275618</v>
      </c>
      <c r="J528" s="28">
        <v>101.0</v>
      </c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" t="s">
        <v>1109</v>
      </c>
      <c r="B529" s="4" t="s">
        <v>1110</v>
      </c>
      <c r="C529" s="4" t="s">
        <v>11</v>
      </c>
      <c r="D529" s="4" t="s">
        <v>46</v>
      </c>
      <c r="E529" s="4">
        <v>4.62376237623762</v>
      </c>
      <c r="F529" s="4">
        <v>1.67243227156447</v>
      </c>
      <c r="G529" s="4">
        <v>101.0</v>
      </c>
      <c r="H529" s="4">
        <v>4.70873786407767</v>
      </c>
      <c r="I529" s="4">
        <v>2.03224529533593</v>
      </c>
      <c r="J529" s="4">
        <v>103.0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 t="s">
        <v>1111</v>
      </c>
      <c r="B530" s="4" t="s">
        <v>1112</v>
      </c>
      <c r="C530" s="4" t="s">
        <v>11</v>
      </c>
      <c r="D530" s="4" t="s">
        <v>46</v>
      </c>
      <c r="E530" s="4">
        <v>4.61764705882353</v>
      </c>
      <c r="F530" s="4">
        <v>1.74085513098318</v>
      </c>
      <c r="G530" s="4">
        <v>102.0</v>
      </c>
      <c r="H530" s="4">
        <v>5.34653465346535</v>
      </c>
      <c r="I530" s="4">
        <v>1.76881679980916</v>
      </c>
      <c r="J530" s="4">
        <v>101.0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 t="s">
        <v>1113</v>
      </c>
      <c r="B531" s="4" t="s">
        <v>1114</v>
      </c>
      <c r="C531" s="4" t="s">
        <v>25</v>
      </c>
      <c r="D531" s="4" t="s">
        <v>1115</v>
      </c>
      <c r="E531" s="4">
        <v>4.76470588235294</v>
      </c>
      <c r="F531" s="4">
        <v>1.3800306395525</v>
      </c>
      <c r="G531" s="4">
        <v>102.0</v>
      </c>
      <c r="H531" s="4">
        <v>3.63366336633663</v>
      </c>
      <c r="I531" s="4">
        <v>1.50812978405194</v>
      </c>
      <c r="J531" s="4">
        <v>101.0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 t="s">
        <v>1116</v>
      </c>
      <c r="B532" s="4" t="s">
        <v>1117</v>
      </c>
      <c r="C532" s="4" t="s">
        <v>11</v>
      </c>
      <c r="D532" s="4" t="s">
        <v>1118</v>
      </c>
      <c r="E532" s="4">
        <v>4.58823529411765</v>
      </c>
      <c r="F532" s="4">
        <v>1.35232063964333</v>
      </c>
      <c r="G532" s="4">
        <v>102.0</v>
      </c>
      <c r="H532" s="4">
        <v>3.66336633663366</v>
      </c>
      <c r="I532" s="4">
        <v>1.77356831118946</v>
      </c>
      <c r="J532" s="4">
        <v>101.0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 t="s">
        <v>1119</v>
      </c>
      <c r="B533" s="4" t="s">
        <v>1120</v>
      </c>
      <c r="C533" s="4" t="s">
        <v>11</v>
      </c>
      <c r="D533" s="4" t="s">
        <v>46</v>
      </c>
      <c r="E533" s="4">
        <v>4.58333333333333</v>
      </c>
      <c r="F533" s="4">
        <v>1.39508482976591</v>
      </c>
      <c r="G533" s="4">
        <v>108.0</v>
      </c>
      <c r="H533" s="4">
        <v>4.36538461538461</v>
      </c>
      <c r="I533" s="4">
        <v>1.83841263477037</v>
      </c>
      <c r="J533" s="4">
        <v>104.0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 t="s">
        <v>1121</v>
      </c>
      <c r="B534" s="4" t="s">
        <v>1122</v>
      </c>
      <c r="C534" s="4" t="s">
        <v>15</v>
      </c>
      <c r="D534" s="4" t="s">
        <v>12</v>
      </c>
      <c r="E534" s="4">
        <v>4.76851851851852</v>
      </c>
      <c r="F534" s="4">
        <v>1.17295442527236</v>
      </c>
      <c r="G534" s="4">
        <v>108.0</v>
      </c>
      <c r="H534" s="4">
        <v>2.86538461538462</v>
      </c>
      <c r="I534" s="4">
        <v>1.64911092438503</v>
      </c>
      <c r="J534" s="4">
        <v>104.0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 t="s">
        <v>1123</v>
      </c>
      <c r="B535" s="4" t="s">
        <v>1124</v>
      </c>
      <c r="C535" s="4" t="s">
        <v>11</v>
      </c>
      <c r="D535" s="4" t="s">
        <v>12</v>
      </c>
      <c r="E535" s="4">
        <v>4.57843137254902</v>
      </c>
      <c r="F535" s="4">
        <v>1.21407810039449</v>
      </c>
      <c r="G535" s="4">
        <v>102.0</v>
      </c>
      <c r="H535" s="4">
        <v>3.56435643564356</v>
      </c>
      <c r="I535" s="4">
        <v>1.54541801195766</v>
      </c>
      <c r="J535" s="4">
        <v>101.0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 t="s">
        <v>1125</v>
      </c>
      <c r="B536" s="4" t="s">
        <v>1126</v>
      </c>
      <c r="C536" s="4" t="s">
        <v>15</v>
      </c>
      <c r="D536" s="4" t="s">
        <v>12</v>
      </c>
      <c r="E536" s="4">
        <v>4.79207920792079</v>
      </c>
      <c r="F536" s="4">
        <v>1.08919081600212</v>
      </c>
      <c r="G536" s="4">
        <v>101.0</v>
      </c>
      <c r="H536" s="4">
        <v>3.07766990291262</v>
      </c>
      <c r="I536" s="4">
        <v>1.68435313928249</v>
      </c>
      <c r="J536" s="4">
        <v>103.0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 t="s">
        <v>1127</v>
      </c>
      <c r="B537" s="25" t="s">
        <v>1128</v>
      </c>
      <c r="C537" s="25" t="s">
        <v>39</v>
      </c>
      <c r="D537" s="25" t="s">
        <v>12</v>
      </c>
      <c r="E537" s="25">
        <v>4.7962962962963</v>
      </c>
      <c r="F537" s="25">
        <v>1.13367535001802</v>
      </c>
      <c r="G537" s="25">
        <v>108.0</v>
      </c>
      <c r="H537" s="25">
        <v>3.17307692307692</v>
      </c>
      <c r="I537" s="25">
        <v>1.82986183197598</v>
      </c>
      <c r="J537" s="25">
        <v>104.0</v>
      </c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" t="s">
        <v>1129</v>
      </c>
      <c r="B538" s="4" t="s">
        <v>1130</v>
      </c>
      <c r="C538" s="4" t="s">
        <v>11</v>
      </c>
      <c r="D538" s="4" t="s">
        <v>12</v>
      </c>
      <c r="E538" s="4">
        <v>4.56481481481481</v>
      </c>
      <c r="F538" s="4">
        <v>1.16228222277808</v>
      </c>
      <c r="G538" s="4">
        <v>108.0</v>
      </c>
      <c r="H538" s="4">
        <v>3.31730769230769</v>
      </c>
      <c r="I538" s="4">
        <v>1.60862012312503</v>
      </c>
      <c r="J538" s="4">
        <v>104.0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 t="s">
        <v>1131</v>
      </c>
      <c r="B539" s="4" t="s">
        <v>1132</v>
      </c>
      <c r="C539" s="4" t="s">
        <v>11</v>
      </c>
      <c r="D539" s="4" t="s">
        <v>12</v>
      </c>
      <c r="E539" s="4">
        <v>4.55882352941176</v>
      </c>
      <c r="F539" s="4">
        <v>1.20702177797677</v>
      </c>
      <c r="G539" s="4">
        <v>102.0</v>
      </c>
      <c r="H539" s="4">
        <v>3.38613861386139</v>
      </c>
      <c r="I539" s="4">
        <v>1.58095096084416</v>
      </c>
      <c r="J539" s="4">
        <v>101.0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 t="s">
        <v>1133</v>
      </c>
      <c r="B540" s="4" t="s">
        <v>1134</v>
      </c>
      <c r="C540" s="4" t="s">
        <v>11</v>
      </c>
      <c r="D540" s="4" t="s">
        <v>46</v>
      </c>
      <c r="E540" s="4">
        <v>4.54901960784314</v>
      </c>
      <c r="F540" s="4">
        <v>1.17420671329725</v>
      </c>
      <c r="G540" s="4">
        <v>102.0</v>
      </c>
      <c r="H540" s="4">
        <v>4.46534653465347</v>
      </c>
      <c r="I540" s="4">
        <v>1.65870043368683</v>
      </c>
      <c r="J540" s="4">
        <v>101.0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 t="s">
        <v>1135</v>
      </c>
      <c r="B541" s="4" t="s">
        <v>1136</v>
      </c>
      <c r="C541" s="4" t="s">
        <v>11</v>
      </c>
      <c r="D541" s="4" t="s">
        <v>12</v>
      </c>
      <c r="E541" s="4">
        <v>4.5462962962963</v>
      </c>
      <c r="F541" s="4">
        <v>1.18703478253142</v>
      </c>
      <c r="G541" s="4">
        <v>108.0</v>
      </c>
      <c r="H541" s="4">
        <v>3.26923076923077</v>
      </c>
      <c r="I541" s="4">
        <v>1.66768701651823</v>
      </c>
      <c r="J541" s="4">
        <v>104.0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 t="s">
        <v>1137</v>
      </c>
      <c r="B542" s="4" t="s">
        <v>1138</v>
      </c>
      <c r="C542" s="4" t="s">
        <v>11</v>
      </c>
      <c r="D542" s="4" t="s">
        <v>46</v>
      </c>
      <c r="E542" s="4">
        <v>4.53921568627451</v>
      </c>
      <c r="F542" s="4">
        <v>1.05934379676831</v>
      </c>
      <c r="G542" s="4">
        <v>102.0</v>
      </c>
      <c r="H542" s="4">
        <v>4.25742574257426</v>
      </c>
      <c r="I542" s="4">
        <v>1.53397174254635</v>
      </c>
      <c r="J542" s="4">
        <v>101.0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 t="s">
        <v>1139</v>
      </c>
      <c r="B543" s="4" t="s">
        <v>1140</v>
      </c>
      <c r="C543" s="4" t="s">
        <v>39</v>
      </c>
      <c r="D543" s="4" t="s">
        <v>12</v>
      </c>
      <c r="E543" s="4">
        <v>4.81372549019608</v>
      </c>
      <c r="F543" s="4">
        <v>1.01210878917535</v>
      </c>
      <c r="G543" s="4">
        <v>102.0</v>
      </c>
      <c r="H543" s="4">
        <v>2.73267326732673</v>
      </c>
      <c r="I543" s="4">
        <v>1.70229896968136</v>
      </c>
      <c r="J543" s="4">
        <v>101.0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 t="s">
        <v>1141</v>
      </c>
      <c r="B544" s="4" t="s">
        <v>1142</v>
      </c>
      <c r="C544" s="4" t="s">
        <v>11</v>
      </c>
      <c r="D544" s="4" t="s">
        <v>12</v>
      </c>
      <c r="E544" s="4">
        <v>4.53921568627451</v>
      </c>
      <c r="F544" s="4">
        <v>1.04048321435546</v>
      </c>
      <c r="G544" s="4">
        <v>102.0</v>
      </c>
      <c r="H544" s="4">
        <v>2.63366336633663</v>
      </c>
      <c r="I544" s="4">
        <v>1.30171250495052</v>
      </c>
      <c r="J544" s="4">
        <v>101.0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 t="s">
        <v>1143</v>
      </c>
      <c r="B545" s="4" t="s">
        <v>1144</v>
      </c>
      <c r="C545" s="4" t="s">
        <v>39</v>
      </c>
      <c r="D545" s="4" t="s">
        <v>12</v>
      </c>
      <c r="E545" s="4">
        <v>4.82352941176471</v>
      </c>
      <c r="F545" s="4">
        <v>0.999126001289685</v>
      </c>
      <c r="G545" s="4">
        <v>102.0</v>
      </c>
      <c r="H545" s="4">
        <v>2.9009900990099</v>
      </c>
      <c r="I545" s="4">
        <v>1.7349636912342</v>
      </c>
      <c r="J545" s="4">
        <v>101.0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 t="s">
        <v>1145</v>
      </c>
      <c r="B546" s="4" t="s">
        <v>1146</v>
      </c>
      <c r="C546" s="4" t="s">
        <v>11</v>
      </c>
      <c r="D546" s="4" t="s">
        <v>12</v>
      </c>
      <c r="E546" s="4">
        <v>4.51960784313725</v>
      </c>
      <c r="F546" s="4">
        <v>0.919862152359698</v>
      </c>
      <c r="G546" s="4">
        <v>102.0</v>
      </c>
      <c r="H546" s="4">
        <v>2.94059405940594</v>
      </c>
      <c r="I546" s="4">
        <v>1.4270373658613</v>
      </c>
      <c r="J546" s="4">
        <v>101.0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 t="s">
        <v>1147</v>
      </c>
      <c r="B547" s="4" t="s">
        <v>1148</v>
      </c>
      <c r="C547" s="4" t="s">
        <v>11</v>
      </c>
      <c r="D547" s="4" t="s">
        <v>1149</v>
      </c>
      <c r="E547" s="4">
        <v>4.51485148514851</v>
      </c>
      <c r="F547" s="4">
        <v>1.15424314064359</v>
      </c>
      <c r="G547" s="4">
        <v>101.0</v>
      </c>
      <c r="H547" s="4">
        <v>3.74757281553398</v>
      </c>
      <c r="I547" s="4">
        <v>1.98384873811598</v>
      </c>
      <c r="J547" s="4">
        <v>103.0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 t="s">
        <v>1150</v>
      </c>
      <c r="B548" s="4" t="s">
        <v>1151</v>
      </c>
      <c r="C548" s="4" t="s">
        <v>11</v>
      </c>
      <c r="D548" s="4" t="s">
        <v>12</v>
      </c>
      <c r="E548" s="4">
        <v>4.5049504950495</v>
      </c>
      <c r="F548" s="4">
        <v>0.98614159608281</v>
      </c>
      <c r="G548" s="4">
        <v>101.0</v>
      </c>
      <c r="H548" s="4">
        <v>2.62135922330097</v>
      </c>
      <c r="I548" s="4">
        <v>1.43565592616092</v>
      </c>
      <c r="J548" s="4">
        <v>103.0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 t="s">
        <v>1152</v>
      </c>
      <c r="B549" s="4" t="s">
        <v>1153</v>
      </c>
      <c r="C549" s="4" t="s">
        <v>15</v>
      </c>
      <c r="D549" s="4" t="s">
        <v>12</v>
      </c>
      <c r="E549" s="4">
        <v>4.84313725490196</v>
      </c>
      <c r="F549" s="4">
        <v>1.02198697981685</v>
      </c>
      <c r="G549" s="4">
        <v>102.0</v>
      </c>
      <c r="H549" s="4">
        <v>3.14851485148515</v>
      </c>
      <c r="I549" s="4">
        <v>1.51911907771485</v>
      </c>
      <c r="J549" s="4">
        <v>101.0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 t="s">
        <v>1154</v>
      </c>
      <c r="B550" s="4" t="s">
        <v>1155</v>
      </c>
      <c r="C550" s="4" t="s">
        <v>39</v>
      </c>
      <c r="D550" s="4" t="s">
        <v>12</v>
      </c>
      <c r="E550" s="4">
        <v>4.85294117647059</v>
      </c>
      <c r="F550" s="4">
        <v>1.17226242139904</v>
      </c>
      <c r="G550" s="4">
        <v>102.0</v>
      </c>
      <c r="H550" s="4">
        <v>4.52475247524752</v>
      </c>
      <c r="I550" s="4">
        <v>1.62230736548868</v>
      </c>
      <c r="J550" s="4">
        <v>101.0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 t="s">
        <v>1156</v>
      </c>
      <c r="B551" s="4" t="s">
        <v>1157</v>
      </c>
      <c r="C551" s="4" t="s">
        <v>15</v>
      </c>
      <c r="D551" s="4" t="s">
        <v>12</v>
      </c>
      <c r="E551" s="4">
        <v>4.85294117647059</v>
      </c>
      <c r="F551" s="4">
        <v>1.06610291353514</v>
      </c>
      <c r="G551" s="4">
        <v>102.0</v>
      </c>
      <c r="H551" s="4">
        <v>2.30693069306931</v>
      </c>
      <c r="I551" s="4">
        <v>1.39816003559983</v>
      </c>
      <c r="J551" s="4">
        <v>101.0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 t="s">
        <v>1158</v>
      </c>
      <c r="B552" s="4" t="s">
        <v>1159</v>
      </c>
      <c r="C552" s="4" t="s">
        <v>39</v>
      </c>
      <c r="D552" s="4" t="s">
        <v>46</v>
      </c>
      <c r="E552" s="4">
        <v>4.86138613861386</v>
      </c>
      <c r="F552" s="4">
        <v>1.06798598277596</v>
      </c>
      <c r="G552" s="4">
        <v>101.0</v>
      </c>
      <c r="H552" s="4">
        <v>4.19417475728155</v>
      </c>
      <c r="I552" s="4">
        <v>1.63933422896569</v>
      </c>
      <c r="J552" s="4">
        <v>103.0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 t="s">
        <v>1160</v>
      </c>
      <c r="B553" s="4" t="s">
        <v>1161</v>
      </c>
      <c r="C553" s="4" t="s">
        <v>11</v>
      </c>
      <c r="D553" s="4" t="s">
        <v>12</v>
      </c>
      <c r="E553" s="4">
        <v>4.49019607843137</v>
      </c>
      <c r="F553" s="4">
        <v>1.01225263976793</v>
      </c>
      <c r="G553" s="4">
        <v>102.0</v>
      </c>
      <c r="H553" s="4">
        <v>3.00990099009901</v>
      </c>
      <c r="I553" s="4">
        <v>1.36744323103338</v>
      </c>
      <c r="J553" s="4">
        <v>101.0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 t="s">
        <v>1162</v>
      </c>
      <c r="B554" s="4" t="s">
        <v>1163</v>
      </c>
      <c r="C554" s="4" t="s">
        <v>25</v>
      </c>
      <c r="D554" s="4" t="s">
        <v>12</v>
      </c>
      <c r="E554" s="4">
        <v>4.87128712871287</v>
      </c>
      <c r="F554" s="4">
        <v>1.13721911992926</v>
      </c>
      <c r="G554" s="4">
        <v>101.0</v>
      </c>
      <c r="H554" s="4">
        <v>4.21359223300971</v>
      </c>
      <c r="I554" s="4">
        <v>1.60055434904686</v>
      </c>
      <c r="J554" s="4">
        <v>103.0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 t="s">
        <v>1164</v>
      </c>
      <c r="B555" s="4" t="s">
        <v>1165</v>
      </c>
      <c r="C555" s="4" t="s">
        <v>11</v>
      </c>
      <c r="D555" s="4" t="s">
        <v>1166</v>
      </c>
      <c r="E555" s="4">
        <v>4.44117647058824</v>
      </c>
      <c r="F555" s="4">
        <v>1.04903094756343</v>
      </c>
      <c r="G555" s="4">
        <v>102.0</v>
      </c>
      <c r="H555" s="4">
        <v>3.05940594059406</v>
      </c>
      <c r="I555" s="4">
        <v>1.60512792124627</v>
      </c>
      <c r="J555" s="4">
        <v>101.0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 t="s">
        <v>1167</v>
      </c>
      <c r="B556" s="4" t="s">
        <v>1168</v>
      </c>
      <c r="C556" s="4" t="s">
        <v>11</v>
      </c>
      <c r="D556" s="4" t="s">
        <v>1169</v>
      </c>
      <c r="E556" s="4">
        <v>4.42592592592593</v>
      </c>
      <c r="F556" s="4">
        <v>1.47378147801126</v>
      </c>
      <c r="G556" s="4">
        <v>108.0</v>
      </c>
      <c r="H556" s="4">
        <v>3.88461538461538</v>
      </c>
      <c r="I556" s="4">
        <v>2.00633797841852</v>
      </c>
      <c r="J556" s="4">
        <v>104.0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 t="s">
        <v>1170</v>
      </c>
      <c r="B557" s="4" t="s">
        <v>1171</v>
      </c>
      <c r="C557" s="4" t="s">
        <v>15</v>
      </c>
      <c r="D557" s="4" t="s">
        <v>12</v>
      </c>
      <c r="E557" s="4">
        <v>4.88235294117647</v>
      </c>
      <c r="F557" s="4">
        <v>1.06514646087291</v>
      </c>
      <c r="G557" s="4">
        <v>102.0</v>
      </c>
      <c r="H557" s="4">
        <v>2.8019801980198</v>
      </c>
      <c r="I557" s="4">
        <v>1.58126406384385</v>
      </c>
      <c r="J557" s="4">
        <v>101.0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 t="s">
        <v>1172</v>
      </c>
      <c r="B558" s="4" t="s">
        <v>1173</v>
      </c>
      <c r="C558" s="4" t="s">
        <v>39</v>
      </c>
      <c r="D558" s="4" t="s">
        <v>12</v>
      </c>
      <c r="E558" s="4">
        <v>4.88235294117647</v>
      </c>
      <c r="F558" s="4">
        <v>0.925909963407781</v>
      </c>
      <c r="G558" s="4">
        <v>102.0</v>
      </c>
      <c r="H558" s="4">
        <v>2.71287128712871</v>
      </c>
      <c r="I558" s="4">
        <v>1.32918496578442</v>
      </c>
      <c r="J558" s="4">
        <v>101.0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 t="s">
        <v>1174</v>
      </c>
      <c r="B559" s="4" t="s">
        <v>1175</v>
      </c>
      <c r="C559" s="4" t="s">
        <v>11</v>
      </c>
      <c r="D559" s="4" t="s">
        <v>12</v>
      </c>
      <c r="E559" s="4">
        <v>4.40740740740741</v>
      </c>
      <c r="F559" s="4">
        <v>1.21545374041335</v>
      </c>
      <c r="G559" s="4">
        <v>108.0</v>
      </c>
      <c r="H559" s="4">
        <v>4.35576923076923</v>
      </c>
      <c r="I559" s="4">
        <v>1.70047548593544</v>
      </c>
      <c r="J559" s="4">
        <v>104.0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 t="s">
        <v>1176</v>
      </c>
      <c r="B560" s="4" t="s">
        <v>1177</v>
      </c>
      <c r="C560" s="4" t="s">
        <v>11</v>
      </c>
      <c r="D560" s="4" t="s">
        <v>12</v>
      </c>
      <c r="E560" s="4">
        <v>4.38613861386139</v>
      </c>
      <c r="F560" s="4">
        <v>1.48303942651369</v>
      </c>
      <c r="G560" s="4">
        <v>101.0</v>
      </c>
      <c r="H560" s="4">
        <v>4.45631067961165</v>
      </c>
      <c r="I560" s="4">
        <v>1.8191610813193</v>
      </c>
      <c r="J560" s="4">
        <v>103.0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 t="s">
        <v>1178</v>
      </c>
      <c r="B561" s="4" t="s">
        <v>1179</v>
      </c>
      <c r="C561" s="4" t="s">
        <v>11</v>
      </c>
      <c r="D561" s="4" t="s">
        <v>1166</v>
      </c>
      <c r="E561" s="4">
        <v>4.38235294117647</v>
      </c>
      <c r="F561" s="4">
        <v>0.856473516286508</v>
      </c>
      <c r="G561" s="4">
        <v>102.0</v>
      </c>
      <c r="H561" s="4">
        <v>3.28712871287129</v>
      </c>
      <c r="I561" s="4">
        <v>1.63912558190864</v>
      </c>
      <c r="J561" s="4">
        <v>101.0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 t="s">
        <v>1180</v>
      </c>
      <c r="B562" s="4" t="s">
        <v>1181</v>
      </c>
      <c r="C562" s="4" t="s">
        <v>39</v>
      </c>
      <c r="D562" s="4" t="s">
        <v>12</v>
      </c>
      <c r="E562" s="4">
        <v>4.8921568627451</v>
      </c>
      <c r="F562" s="4">
        <v>1.07082703991255</v>
      </c>
      <c r="G562" s="4">
        <v>102.0</v>
      </c>
      <c r="H562" s="4">
        <v>4.15841584158416</v>
      </c>
      <c r="I562" s="4">
        <v>1.4746706294446</v>
      </c>
      <c r="J562" s="4">
        <v>101.0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 t="s">
        <v>1182</v>
      </c>
      <c r="B563" s="4" t="s">
        <v>1183</v>
      </c>
      <c r="C563" s="4" t="s">
        <v>39</v>
      </c>
      <c r="D563" s="4" t="s">
        <v>12</v>
      </c>
      <c r="E563" s="4">
        <v>4.8921568627451</v>
      </c>
      <c r="F563" s="4">
        <v>0.910954919982084</v>
      </c>
      <c r="G563" s="4">
        <v>102.0</v>
      </c>
      <c r="H563" s="4">
        <v>2.33663366336634</v>
      </c>
      <c r="I563" s="4">
        <v>1.49851411553427</v>
      </c>
      <c r="J563" s="4">
        <v>101.0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 t="s">
        <v>1184</v>
      </c>
      <c r="B564" s="25" t="s">
        <v>1185</v>
      </c>
      <c r="C564" s="25" t="s">
        <v>39</v>
      </c>
      <c r="D564" s="25" t="s">
        <v>12</v>
      </c>
      <c r="E564" s="25">
        <v>4.89814814814815</v>
      </c>
      <c r="F564" s="25">
        <v>1.03164703460788</v>
      </c>
      <c r="G564" s="25">
        <v>108.0</v>
      </c>
      <c r="H564" s="25">
        <v>2.5</v>
      </c>
      <c r="I564" s="25">
        <v>1.52646555394435</v>
      </c>
      <c r="J564" s="25">
        <v>104.0</v>
      </c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" t="s">
        <v>1186</v>
      </c>
      <c r="B565" s="4" t="s">
        <v>1187</v>
      </c>
      <c r="C565" s="4" t="s">
        <v>39</v>
      </c>
      <c r="D565" s="4" t="s">
        <v>12</v>
      </c>
      <c r="E565" s="4">
        <v>4.90196078431373</v>
      </c>
      <c r="F565" s="4">
        <v>1.18162334989673</v>
      </c>
      <c r="G565" s="4">
        <v>102.0</v>
      </c>
      <c r="H565" s="4">
        <v>3.45544554455446</v>
      </c>
      <c r="I565" s="4">
        <v>1.6032763484518</v>
      </c>
      <c r="J565" s="4">
        <v>101.0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 t="s">
        <v>1188</v>
      </c>
      <c r="B566" s="4" t="s">
        <v>1189</v>
      </c>
      <c r="C566" s="4" t="s">
        <v>11</v>
      </c>
      <c r="D566" s="4" t="s">
        <v>12</v>
      </c>
      <c r="E566" s="4">
        <v>4.38235294117647</v>
      </c>
      <c r="F566" s="4">
        <v>0.901529148110173</v>
      </c>
      <c r="G566" s="4">
        <v>102.0</v>
      </c>
      <c r="H566" s="4">
        <v>2.55445544554455</v>
      </c>
      <c r="I566" s="4">
        <v>1.4385774051107</v>
      </c>
      <c r="J566" s="4">
        <v>101.0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 t="s">
        <v>1190</v>
      </c>
      <c r="B567" s="4" t="s">
        <v>1191</v>
      </c>
      <c r="C567" s="4" t="s">
        <v>15</v>
      </c>
      <c r="D567" s="4" t="s">
        <v>12</v>
      </c>
      <c r="E567" s="4">
        <v>4.92592592592593</v>
      </c>
      <c r="F567" s="4">
        <v>1.15769432234699</v>
      </c>
      <c r="G567" s="4">
        <v>108.0</v>
      </c>
      <c r="H567" s="4">
        <v>3.09615384615385</v>
      </c>
      <c r="I567" s="4">
        <v>1.59196545047908</v>
      </c>
      <c r="J567" s="4">
        <v>104.0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 t="s">
        <v>1192</v>
      </c>
      <c r="B568" s="4" t="s">
        <v>1193</v>
      </c>
      <c r="C568" s="4" t="s">
        <v>11</v>
      </c>
      <c r="D568" s="4" t="s">
        <v>12</v>
      </c>
      <c r="E568" s="4">
        <v>4.35185185185185</v>
      </c>
      <c r="F568" s="4">
        <v>1.16261721197707</v>
      </c>
      <c r="G568" s="4">
        <v>108.0</v>
      </c>
      <c r="H568" s="4">
        <v>3.18269230769231</v>
      </c>
      <c r="I568" s="4">
        <v>1.67079088927023</v>
      </c>
      <c r="J568" s="4">
        <v>104.0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 t="s">
        <v>1194</v>
      </c>
      <c r="B569" s="4" t="s">
        <v>1195</v>
      </c>
      <c r="C569" s="4" t="s">
        <v>11</v>
      </c>
      <c r="D569" s="4" t="s">
        <v>1196</v>
      </c>
      <c r="E569" s="4">
        <v>4.34259259259259</v>
      </c>
      <c r="F569" s="4">
        <v>1.41528397491961</v>
      </c>
      <c r="G569" s="4">
        <v>108.0</v>
      </c>
      <c r="H569" s="4">
        <v>3.70192307692308</v>
      </c>
      <c r="I569" s="4">
        <v>1.97006632233886</v>
      </c>
      <c r="J569" s="4">
        <v>104.0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 t="s">
        <v>1197</v>
      </c>
      <c r="B570" s="4" t="s">
        <v>1198</v>
      </c>
      <c r="C570" s="4" t="s">
        <v>39</v>
      </c>
      <c r="D570" s="4" t="s">
        <v>12</v>
      </c>
      <c r="E570" s="4">
        <v>4.94117647058824</v>
      </c>
      <c r="F570" s="4">
        <v>1.11536105606278</v>
      </c>
      <c r="G570" s="4">
        <v>102.0</v>
      </c>
      <c r="H570" s="4">
        <v>3.77227722772277</v>
      </c>
      <c r="I570" s="4">
        <v>1.61790721686265</v>
      </c>
      <c r="J570" s="4">
        <v>101.0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1" t="s">
        <v>1199</v>
      </c>
      <c r="B571" s="22" t="s">
        <v>1200</v>
      </c>
      <c r="C571" s="22" t="s">
        <v>25</v>
      </c>
      <c r="D571" s="22" t="s">
        <v>12</v>
      </c>
      <c r="E571" s="22">
        <v>4.94117647058824</v>
      </c>
      <c r="F571" s="22">
        <v>1.20085389925739</v>
      </c>
      <c r="G571" s="22">
        <v>102.0</v>
      </c>
      <c r="H571" s="22">
        <v>3.57425742574257</v>
      </c>
      <c r="I571" s="22">
        <v>1.68134787984798</v>
      </c>
      <c r="J571" s="22">
        <v>101.0</v>
      </c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" t="s">
        <v>1201</v>
      </c>
      <c r="B572" s="4" t="s">
        <v>1202</v>
      </c>
      <c r="C572" s="4" t="s">
        <v>39</v>
      </c>
      <c r="D572" s="4" t="s">
        <v>12</v>
      </c>
      <c r="E572" s="4">
        <v>4.94117647058824</v>
      </c>
      <c r="F572" s="4">
        <v>1.02274653917834</v>
      </c>
      <c r="G572" s="4">
        <v>102.0</v>
      </c>
      <c r="H572" s="4">
        <v>2.42574257425743</v>
      </c>
      <c r="I572" s="4">
        <v>1.53196954704371</v>
      </c>
      <c r="J572" s="4">
        <v>101.0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 t="s">
        <v>1203</v>
      </c>
      <c r="B573" s="4" t="s">
        <v>1204</v>
      </c>
      <c r="C573" s="4" t="s">
        <v>39</v>
      </c>
      <c r="D573" s="4" t="s">
        <v>12</v>
      </c>
      <c r="E573" s="4">
        <v>4.94117647058824</v>
      </c>
      <c r="F573" s="4">
        <v>0.952573683247203</v>
      </c>
      <c r="G573" s="4">
        <v>102.0</v>
      </c>
      <c r="H573" s="4">
        <v>2.42574257425743</v>
      </c>
      <c r="I573" s="4">
        <v>1.52542803601786</v>
      </c>
      <c r="J573" s="4">
        <v>101.0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 t="s">
        <v>1205</v>
      </c>
      <c r="B574" s="4" t="s">
        <v>1206</v>
      </c>
      <c r="C574" s="4" t="s">
        <v>25</v>
      </c>
      <c r="D574" s="4" t="s">
        <v>1207</v>
      </c>
      <c r="E574" s="4">
        <v>4.94444444444444</v>
      </c>
      <c r="F574" s="4">
        <v>1.24430165328242</v>
      </c>
      <c r="G574" s="4">
        <v>108.0</v>
      </c>
      <c r="H574" s="4">
        <v>3.78846153846154</v>
      </c>
      <c r="I574" s="4">
        <v>1.71046508705683</v>
      </c>
      <c r="J574" s="4">
        <v>104.0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 t="s">
        <v>1208</v>
      </c>
      <c r="B575" s="4" t="s">
        <v>1209</v>
      </c>
      <c r="C575" s="4" t="s">
        <v>25</v>
      </c>
      <c r="D575" s="4" t="s">
        <v>12</v>
      </c>
      <c r="E575" s="4">
        <v>4.9537037037037</v>
      </c>
      <c r="F575" s="4">
        <v>1.17913527050732</v>
      </c>
      <c r="G575" s="4">
        <v>108.0</v>
      </c>
      <c r="H575" s="4">
        <v>3.34615384615385</v>
      </c>
      <c r="I575" s="4">
        <v>1.64741180219291</v>
      </c>
      <c r="J575" s="4">
        <v>104.0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 t="s">
        <v>1210</v>
      </c>
      <c r="B576" s="4" t="s">
        <v>1211</v>
      </c>
      <c r="C576" s="4" t="s">
        <v>15</v>
      </c>
      <c r="D576" s="4" t="s">
        <v>12</v>
      </c>
      <c r="E576" s="4">
        <v>4.96039603960396</v>
      </c>
      <c r="F576" s="4">
        <v>1.14822290587854</v>
      </c>
      <c r="G576" s="4">
        <v>101.0</v>
      </c>
      <c r="H576" s="4">
        <v>3.67961165048544</v>
      </c>
      <c r="I576" s="4">
        <v>1.74453540212708</v>
      </c>
      <c r="J576" s="4">
        <v>103.0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 t="s">
        <v>1212</v>
      </c>
      <c r="B577" s="4" t="s">
        <v>1213</v>
      </c>
      <c r="C577" s="4" t="s">
        <v>11</v>
      </c>
      <c r="D577" s="4" t="s">
        <v>46</v>
      </c>
      <c r="E577" s="4">
        <v>4.33333333333333</v>
      </c>
      <c r="F577" s="4">
        <v>1.48479643791538</v>
      </c>
      <c r="G577" s="4">
        <v>102.0</v>
      </c>
      <c r="H577" s="4">
        <v>4.55445544554455</v>
      </c>
      <c r="I577" s="4">
        <v>1.71741228320257</v>
      </c>
      <c r="J577" s="4">
        <v>101.0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 t="s">
        <v>1214</v>
      </c>
      <c r="B578" s="4" t="s">
        <v>1215</v>
      </c>
      <c r="C578" s="4" t="s">
        <v>11</v>
      </c>
      <c r="D578" s="4" t="s">
        <v>12</v>
      </c>
      <c r="E578" s="4">
        <v>4.33333333333333</v>
      </c>
      <c r="F578" s="4">
        <v>1.17172406893832</v>
      </c>
      <c r="G578" s="4">
        <v>102.0</v>
      </c>
      <c r="H578" s="4">
        <v>3.10891089108911</v>
      </c>
      <c r="I578" s="4">
        <v>1.53558451476309</v>
      </c>
      <c r="J578" s="4">
        <v>101.0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 t="s">
        <v>1216</v>
      </c>
      <c r="B579" s="4" t="s">
        <v>1217</v>
      </c>
      <c r="C579" s="4" t="s">
        <v>39</v>
      </c>
      <c r="D579" s="4" t="s">
        <v>12</v>
      </c>
      <c r="E579" s="4">
        <v>4.96296296296296</v>
      </c>
      <c r="F579" s="4">
        <v>1.09310435005573</v>
      </c>
      <c r="G579" s="4">
        <v>108.0</v>
      </c>
      <c r="H579" s="4">
        <v>2.23076923076923</v>
      </c>
      <c r="I579" s="4">
        <v>1.46301171766816</v>
      </c>
      <c r="J579" s="4">
        <v>104.0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 t="s">
        <v>1218</v>
      </c>
      <c r="B580" s="4" t="s">
        <v>1219</v>
      </c>
      <c r="C580" s="4" t="s">
        <v>11</v>
      </c>
      <c r="D580" s="4" t="s">
        <v>1166</v>
      </c>
      <c r="E580" s="4">
        <v>4.30392156862745</v>
      </c>
      <c r="F580" s="4">
        <v>1.11505641367099</v>
      </c>
      <c r="G580" s="4">
        <v>102.0</v>
      </c>
      <c r="H580" s="4">
        <v>3.25742574257426</v>
      </c>
      <c r="I580" s="4">
        <v>1.80916259825663</v>
      </c>
      <c r="J580" s="4">
        <v>101.0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 t="s">
        <v>1220</v>
      </c>
      <c r="B581" s="4" t="s">
        <v>1221</v>
      </c>
      <c r="C581" s="4" t="s">
        <v>11</v>
      </c>
      <c r="D581" s="4" t="s">
        <v>1222</v>
      </c>
      <c r="E581" s="4">
        <v>4.2970297029703</v>
      </c>
      <c r="F581" s="4">
        <v>1.15364253090327</v>
      </c>
      <c r="G581" s="4">
        <v>101.0</v>
      </c>
      <c r="H581" s="4">
        <v>3.48543689320388</v>
      </c>
      <c r="I581" s="4">
        <v>1.83572434637678</v>
      </c>
      <c r="J581" s="4">
        <v>103.0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 t="s">
        <v>1223</v>
      </c>
      <c r="B582" s="4" t="s">
        <v>1224</v>
      </c>
      <c r="C582" s="4" t="s">
        <v>11</v>
      </c>
      <c r="D582" s="4" t="s">
        <v>12</v>
      </c>
      <c r="E582" s="4">
        <v>4.29411764705882</v>
      </c>
      <c r="F582" s="4">
        <v>1.27883173243532</v>
      </c>
      <c r="G582" s="4">
        <v>102.0</v>
      </c>
      <c r="H582" s="4">
        <v>3.75247524752475</v>
      </c>
      <c r="I582" s="4">
        <v>1.54535394388509</v>
      </c>
      <c r="J582" s="4">
        <v>101.0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 t="s">
        <v>1225</v>
      </c>
      <c r="B583" s="4" t="s">
        <v>1226</v>
      </c>
      <c r="C583" s="4" t="s">
        <v>11</v>
      </c>
      <c r="D583" s="4" t="s">
        <v>12</v>
      </c>
      <c r="E583" s="4">
        <v>4.28703703703704</v>
      </c>
      <c r="F583" s="4">
        <v>1.21556052933805</v>
      </c>
      <c r="G583" s="4">
        <v>108.0</v>
      </c>
      <c r="H583" s="4">
        <v>3.39423076923077</v>
      </c>
      <c r="I583" s="4">
        <v>1.68614150917026</v>
      </c>
      <c r="J583" s="4">
        <v>104.0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 t="s">
        <v>1227</v>
      </c>
      <c r="B584" s="4" t="s">
        <v>1228</v>
      </c>
      <c r="C584" s="4" t="s">
        <v>25</v>
      </c>
      <c r="D584" s="4" t="s">
        <v>12</v>
      </c>
      <c r="E584" s="4">
        <v>4.99074074074074</v>
      </c>
      <c r="F584" s="4">
        <v>1.27883833362874</v>
      </c>
      <c r="G584" s="4">
        <v>108.0</v>
      </c>
      <c r="H584" s="4">
        <v>3.47115384615385</v>
      </c>
      <c r="I584" s="4">
        <v>1.6307525856239</v>
      </c>
      <c r="J584" s="4">
        <v>104.0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 t="s">
        <v>1229</v>
      </c>
      <c r="B585" s="4" t="s">
        <v>1230</v>
      </c>
      <c r="C585" s="4" t="s">
        <v>11</v>
      </c>
      <c r="D585" s="4" t="s">
        <v>12</v>
      </c>
      <c r="E585" s="4">
        <v>4.25925925925926</v>
      </c>
      <c r="F585" s="4">
        <v>1.00810148549323</v>
      </c>
      <c r="G585" s="4">
        <v>108.0</v>
      </c>
      <c r="H585" s="4">
        <v>3.27884615384615</v>
      </c>
      <c r="I585" s="4">
        <v>1.49729030831155</v>
      </c>
      <c r="J585" s="4">
        <v>104.0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7" t="s">
        <v>1231</v>
      </c>
      <c r="B586" s="28" t="s">
        <v>1232</v>
      </c>
      <c r="C586" s="28" t="s">
        <v>15</v>
      </c>
      <c r="D586" s="28" t="s">
        <v>12</v>
      </c>
      <c r="E586" s="28">
        <v>5.0</v>
      </c>
      <c r="F586" s="28">
        <v>1.03923048454133</v>
      </c>
      <c r="G586" s="28">
        <v>101.0</v>
      </c>
      <c r="H586" s="28">
        <v>3.03883495145631</v>
      </c>
      <c r="I586" s="28">
        <v>1.74289780165152</v>
      </c>
      <c r="J586" s="28">
        <v>103.0</v>
      </c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4" t="s">
        <v>1233</v>
      </c>
      <c r="B587" s="25" t="s">
        <v>1234</v>
      </c>
      <c r="C587" s="25" t="s">
        <v>39</v>
      </c>
      <c r="D587" s="25" t="s">
        <v>12</v>
      </c>
      <c r="E587" s="25">
        <v>5.00980392156863</v>
      </c>
      <c r="F587" s="25">
        <v>1.22268247571482</v>
      </c>
      <c r="G587" s="25">
        <v>102.0</v>
      </c>
      <c r="H587" s="25">
        <v>2.73267326732673</v>
      </c>
      <c r="I587" s="25">
        <v>1.59305423077126</v>
      </c>
      <c r="J587" s="25">
        <v>101.0</v>
      </c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" t="s">
        <v>1235</v>
      </c>
      <c r="B588" s="4" t="s">
        <v>1236</v>
      </c>
      <c r="C588" s="4" t="s">
        <v>39</v>
      </c>
      <c r="D588" s="4" t="s">
        <v>12</v>
      </c>
      <c r="E588" s="4">
        <v>5.00980392156863</v>
      </c>
      <c r="F588" s="4">
        <v>1.03880260505146</v>
      </c>
      <c r="G588" s="4">
        <v>102.0</v>
      </c>
      <c r="H588" s="4">
        <v>2.10891089108911</v>
      </c>
      <c r="I588" s="4">
        <v>1.32590339089249</v>
      </c>
      <c r="J588" s="4">
        <v>101.0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 t="s">
        <v>1237</v>
      </c>
      <c r="B589" s="4" t="s">
        <v>1238</v>
      </c>
      <c r="C589" s="4" t="s">
        <v>11</v>
      </c>
      <c r="D589" s="4" t="s">
        <v>46</v>
      </c>
      <c r="E589" s="4">
        <v>4.24752475247525</v>
      </c>
      <c r="F589" s="4">
        <v>0.931728936913085</v>
      </c>
      <c r="G589" s="4">
        <v>101.0</v>
      </c>
      <c r="H589" s="4">
        <v>3.0873786407767</v>
      </c>
      <c r="I589" s="4">
        <v>1.56622936815045</v>
      </c>
      <c r="J589" s="4">
        <v>103.0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 t="s">
        <v>1239</v>
      </c>
      <c r="B590" s="4" t="s">
        <v>1240</v>
      </c>
      <c r="C590" s="4" t="s">
        <v>15</v>
      </c>
      <c r="D590" s="4" t="s">
        <v>12</v>
      </c>
      <c r="E590" s="4">
        <v>5.01960784313725</v>
      </c>
      <c r="F590" s="4">
        <v>1.13434581973477</v>
      </c>
      <c r="G590" s="4">
        <v>102.0</v>
      </c>
      <c r="H590" s="4">
        <v>3.48514851485149</v>
      </c>
      <c r="I590" s="4">
        <v>1.54669881609923</v>
      </c>
      <c r="J590" s="4">
        <v>101.0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1" t="s">
        <v>1241</v>
      </c>
      <c r="B591" s="22" t="s">
        <v>1242</v>
      </c>
      <c r="C591" s="22" t="s">
        <v>25</v>
      </c>
      <c r="D591" s="22" t="s">
        <v>12</v>
      </c>
      <c r="E591" s="22">
        <v>5.01980198019802</v>
      </c>
      <c r="F591" s="22">
        <v>1.24080778543497</v>
      </c>
      <c r="G591" s="22">
        <v>101.0</v>
      </c>
      <c r="H591" s="22">
        <v>4.33980582524272</v>
      </c>
      <c r="I591" s="22">
        <v>1.63030971470089</v>
      </c>
      <c r="J591" s="22">
        <v>103.0</v>
      </c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" t="s">
        <v>1243</v>
      </c>
      <c r="B592" s="4" t="s">
        <v>1244</v>
      </c>
      <c r="C592" s="4" t="s">
        <v>11</v>
      </c>
      <c r="D592" s="4" t="s">
        <v>46</v>
      </c>
      <c r="E592" s="4">
        <v>4.24074074074074</v>
      </c>
      <c r="F592" s="4">
        <v>1.32460800317037</v>
      </c>
      <c r="G592" s="4">
        <v>108.0</v>
      </c>
      <c r="H592" s="4">
        <v>4.23076923076923</v>
      </c>
      <c r="I592" s="4">
        <v>1.80737845463184</v>
      </c>
      <c r="J592" s="4">
        <v>104.0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 t="s">
        <v>1245</v>
      </c>
      <c r="B593" s="4" t="s">
        <v>1246</v>
      </c>
      <c r="C593" s="4" t="s">
        <v>39</v>
      </c>
      <c r="D593" s="4" t="s">
        <v>12</v>
      </c>
      <c r="E593" s="4">
        <v>5.03703703703704</v>
      </c>
      <c r="F593" s="4">
        <v>1.48466255913702</v>
      </c>
      <c r="G593" s="4">
        <v>108.0</v>
      </c>
      <c r="H593" s="4">
        <v>3.20192307692308</v>
      </c>
      <c r="I593" s="4">
        <v>1.74811858750119</v>
      </c>
      <c r="J593" s="4">
        <v>104.0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7" t="s">
        <v>1247</v>
      </c>
      <c r="B594" s="28" t="s">
        <v>1248</v>
      </c>
      <c r="C594" s="28" t="s">
        <v>15</v>
      </c>
      <c r="D594" s="28" t="s">
        <v>12</v>
      </c>
      <c r="E594" s="28">
        <v>5.03921568627451</v>
      </c>
      <c r="F594" s="28">
        <v>1.35647744615593</v>
      </c>
      <c r="G594" s="28">
        <v>102.0</v>
      </c>
      <c r="H594" s="28">
        <v>3.36633663366337</v>
      </c>
      <c r="I594" s="28">
        <v>1.48810464872083</v>
      </c>
      <c r="J594" s="28">
        <v>101.0</v>
      </c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" t="s">
        <v>1249</v>
      </c>
      <c r="B595" s="4" t="s">
        <v>1250</v>
      </c>
      <c r="C595" s="4" t="s">
        <v>11</v>
      </c>
      <c r="D595" s="4" t="s">
        <v>12</v>
      </c>
      <c r="E595" s="4">
        <v>4.22222222222222</v>
      </c>
      <c r="F595" s="4">
        <v>1.05310695938863</v>
      </c>
      <c r="G595" s="4">
        <v>108.0</v>
      </c>
      <c r="H595" s="4">
        <v>3.98076923076923</v>
      </c>
      <c r="I595" s="4">
        <v>1.74033123301211</v>
      </c>
      <c r="J595" s="4">
        <v>104.0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 t="s">
        <v>1251</v>
      </c>
      <c r="B596" s="4" t="s">
        <v>1252</v>
      </c>
      <c r="C596" s="4" t="s">
        <v>15</v>
      </c>
      <c r="D596" s="4" t="s">
        <v>12</v>
      </c>
      <c r="E596" s="4">
        <v>5.0462962962963</v>
      </c>
      <c r="F596" s="4">
        <v>1.07984300744776</v>
      </c>
      <c r="G596" s="4">
        <v>108.0</v>
      </c>
      <c r="H596" s="4">
        <v>2.36538461538462</v>
      </c>
      <c r="I596" s="4">
        <v>1.48819100655595</v>
      </c>
      <c r="J596" s="4">
        <v>104.0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 t="s">
        <v>1253</v>
      </c>
      <c r="B597" s="4" t="s">
        <v>1254</v>
      </c>
      <c r="C597" s="4" t="s">
        <v>15</v>
      </c>
      <c r="D597" s="4" t="s">
        <v>12</v>
      </c>
      <c r="E597" s="4">
        <v>5.04901960784314</v>
      </c>
      <c r="F597" s="4">
        <v>1.01841899390009</v>
      </c>
      <c r="G597" s="4">
        <v>102.0</v>
      </c>
      <c r="H597" s="4">
        <v>3.30693069306931</v>
      </c>
      <c r="I597" s="4">
        <v>1.69553870057528</v>
      </c>
      <c r="J597" s="4">
        <v>101.0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 t="s">
        <v>1255</v>
      </c>
      <c r="B598" s="4" t="s">
        <v>1256</v>
      </c>
      <c r="C598" s="4" t="s">
        <v>15</v>
      </c>
      <c r="D598" s="4" t="s">
        <v>12</v>
      </c>
      <c r="E598" s="4">
        <v>5.04950495049505</v>
      </c>
      <c r="F598" s="4">
        <v>0.942085321229053</v>
      </c>
      <c r="G598" s="4">
        <v>101.0</v>
      </c>
      <c r="H598" s="4">
        <v>2.98058252427184</v>
      </c>
      <c r="I598" s="4">
        <v>1.60868099985654</v>
      </c>
      <c r="J598" s="4">
        <v>103.0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 t="s">
        <v>1257</v>
      </c>
      <c r="B599" s="4" t="s">
        <v>1258</v>
      </c>
      <c r="C599" s="4" t="s">
        <v>39</v>
      </c>
      <c r="D599" s="4" t="s">
        <v>12</v>
      </c>
      <c r="E599" s="4">
        <v>5.05555555555556</v>
      </c>
      <c r="F599" s="4">
        <v>1.42627764224662</v>
      </c>
      <c r="G599" s="4">
        <v>108.0</v>
      </c>
      <c r="H599" s="4">
        <v>4.54807692307692</v>
      </c>
      <c r="I599" s="4">
        <v>1.71163810536402</v>
      </c>
      <c r="J599" s="4">
        <v>104.0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 t="s">
        <v>1259</v>
      </c>
      <c r="B600" s="4" t="s">
        <v>1260</v>
      </c>
      <c r="C600" s="4" t="s">
        <v>11</v>
      </c>
      <c r="D600" s="4" t="s">
        <v>46</v>
      </c>
      <c r="E600" s="4">
        <v>4.2037037037037</v>
      </c>
      <c r="F600" s="4">
        <v>1.3586638520215</v>
      </c>
      <c r="G600" s="4">
        <v>108.0</v>
      </c>
      <c r="H600" s="4">
        <v>4.55769230769231</v>
      </c>
      <c r="I600" s="4">
        <v>1.97472831154219</v>
      </c>
      <c r="J600" s="4">
        <v>104.0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 t="s">
        <v>1261</v>
      </c>
      <c r="B601" s="4" t="s">
        <v>1262</v>
      </c>
      <c r="C601" s="4" t="s">
        <v>39</v>
      </c>
      <c r="D601" s="4" t="s">
        <v>12</v>
      </c>
      <c r="E601" s="4">
        <v>5.05882352941176</v>
      </c>
      <c r="F601" s="4">
        <v>1.16740831184706</v>
      </c>
      <c r="G601" s="4">
        <v>102.0</v>
      </c>
      <c r="H601" s="4">
        <v>3.37623762376238</v>
      </c>
      <c r="I601" s="4">
        <v>1.54176188270767</v>
      </c>
      <c r="J601" s="4">
        <v>101.0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 t="s">
        <v>1263</v>
      </c>
      <c r="B602" s="25" t="s">
        <v>1264</v>
      </c>
      <c r="C602" s="25" t="s">
        <v>39</v>
      </c>
      <c r="D602" s="25" t="s">
        <v>12</v>
      </c>
      <c r="E602" s="25">
        <v>5.05882352941176</v>
      </c>
      <c r="F602" s="25">
        <v>0.942122413392826</v>
      </c>
      <c r="G602" s="25">
        <v>102.0</v>
      </c>
      <c r="H602" s="25">
        <v>3.30693069306931</v>
      </c>
      <c r="I602" s="25">
        <v>1.73056392113915</v>
      </c>
      <c r="J602" s="25">
        <v>101.0</v>
      </c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" t="s">
        <v>1265</v>
      </c>
      <c r="B603" s="4" t="s">
        <v>1266</v>
      </c>
      <c r="C603" s="4" t="s">
        <v>11</v>
      </c>
      <c r="D603" s="4" t="s">
        <v>12</v>
      </c>
      <c r="E603" s="4">
        <v>4.09259259259259</v>
      </c>
      <c r="F603" s="4">
        <v>1.00034608064715</v>
      </c>
      <c r="G603" s="4">
        <v>108.0</v>
      </c>
      <c r="H603" s="4">
        <v>3.43269230769231</v>
      </c>
      <c r="I603" s="4">
        <v>1.71098349663739</v>
      </c>
      <c r="J603" s="4">
        <v>104.0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 t="s">
        <v>1267</v>
      </c>
      <c r="B604" s="4" t="s">
        <v>1268</v>
      </c>
      <c r="C604" s="4" t="s">
        <v>11</v>
      </c>
      <c r="D604" s="4" t="s">
        <v>12</v>
      </c>
      <c r="E604" s="4">
        <v>4.08823529411765</v>
      </c>
      <c r="F604" s="4">
        <v>1.17820925688072</v>
      </c>
      <c r="G604" s="4">
        <v>102.0</v>
      </c>
      <c r="H604" s="4">
        <v>3.5049504950495</v>
      </c>
      <c r="I604" s="4">
        <v>1.58507894047103</v>
      </c>
      <c r="J604" s="4">
        <v>101.0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 t="s">
        <v>1269</v>
      </c>
      <c r="B605" s="4" t="s">
        <v>1270</v>
      </c>
      <c r="C605" s="4" t="s">
        <v>11</v>
      </c>
      <c r="D605" s="4" t="s">
        <v>12</v>
      </c>
      <c r="E605" s="4">
        <v>4.05555555555556</v>
      </c>
      <c r="F605" s="4">
        <v>1.28857911556553</v>
      </c>
      <c r="G605" s="4">
        <v>108.0</v>
      </c>
      <c r="H605" s="4">
        <v>3.65384615384615</v>
      </c>
      <c r="I605" s="4">
        <v>1.78868737883633</v>
      </c>
      <c r="J605" s="4">
        <v>104.0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 t="s">
        <v>1271</v>
      </c>
      <c r="B606" s="4" t="s">
        <v>1272</v>
      </c>
      <c r="C606" s="4" t="s">
        <v>15</v>
      </c>
      <c r="D606" s="4" t="s">
        <v>12</v>
      </c>
      <c r="E606" s="4">
        <v>5.06862745098039</v>
      </c>
      <c r="F606" s="4">
        <v>1.21263810214084</v>
      </c>
      <c r="G606" s="4">
        <v>102.0</v>
      </c>
      <c r="H606" s="4">
        <v>3.83168316831683</v>
      </c>
      <c r="I606" s="4">
        <v>1.7092062890751</v>
      </c>
      <c r="J606" s="4">
        <v>101.0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 t="s">
        <v>1273</v>
      </c>
      <c r="B607" s="4" t="s">
        <v>1274</v>
      </c>
      <c r="C607" s="4" t="s">
        <v>15</v>
      </c>
      <c r="D607" s="4" t="s">
        <v>12</v>
      </c>
      <c r="E607" s="4">
        <v>5.06862745098039</v>
      </c>
      <c r="F607" s="4">
        <v>1.02696133452303</v>
      </c>
      <c r="G607" s="4">
        <v>102.0</v>
      </c>
      <c r="H607" s="4">
        <v>2.96039603960396</v>
      </c>
      <c r="I607" s="4">
        <v>1.63658664346993</v>
      </c>
      <c r="J607" s="4">
        <v>101.0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 t="s">
        <v>1275</v>
      </c>
      <c r="B608" s="4" t="s">
        <v>1276</v>
      </c>
      <c r="C608" s="4" t="s">
        <v>11</v>
      </c>
      <c r="D608" s="4" t="s">
        <v>12</v>
      </c>
      <c r="E608" s="4">
        <v>4.01851851851852</v>
      </c>
      <c r="F608" s="4">
        <v>0.995142233589963</v>
      </c>
      <c r="G608" s="4">
        <v>108.0</v>
      </c>
      <c r="H608" s="4">
        <v>3.03846153846154</v>
      </c>
      <c r="I608" s="4">
        <v>1.58220122517743</v>
      </c>
      <c r="J608" s="4">
        <v>104.0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 t="s">
        <v>1277</v>
      </c>
      <c r="B609" s="4" t="s">
        <v>1278</v>
      </c>
      <c r="C609" s="4" t="s">
        <v>11</v>
      </c>
      <c r="D609" s="4" t="s">
        <v>12</v>
      </c>
      <c r="E609" s="4">
        <v>4.00990099009901</v>
      </c>
      <c r="F609" s="4">
        <v>1.19578467547423</v>
      </c>
      <c r="G609" s="4">
        <v>101.0</v>
      </c>
      <c r="H609" s="4">
        <v>3.50485436893204</v>
      </c>
      <c r="I609" s="4">
        <v>1.63823067163499</v>
      </c>
      <c r="J609" s="4">
        <v>103.0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 t="s">
        <v>1279</v>
      </c>
      <c r="B610" s="4" t="s">
        <v>1280</v>
      </c>
      <c r="C610" s="4" t="s">
        <v>11</v>
      </c>
      <c r="D610" s="4" t="s">
        <v>12</v>
      </c>
      <c r="E610" s="4">
        <v>4.00925925925926</v>
      </c>
      <c r="F610" s="4">
        <v>1.41087478908449</v>
      </c>
      <c r="G610" s="4">
        <v>108.0</v>
      </c>
      <c r="H610" s="4">
        <v>3.44230769230769</v>
      </c>
      <c r="I610" s="4">
        <v>1.63592510022082</v>
      </c>
      <c r="J610" s="4">
        <v>104.0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 t="s">
        <v>1281</v>
      </c>
      <c r="B611" s="4" t="s">
        <v>1282</v>
      </c>
      <c r="C611" s="4" t="s">
        <v>11</v>
      </c>
      <c r="D611" s="4" t="s">
        <v>12</v>
      </c>
      <c r="E611" s="4">
        <v>4.0</v>
      </c>
      <c r="F611" s="4">
        <v>1.26047016891673</v>
      </c>
      <c r="G611" s="4">
        <v>108.0</v>
      </c>
      <c r="H611" s="4">
        <v>3.72115384615385</v>
      </c>
      <c r="I611" s="4">
        <v>1.79241514548708</v>
      </c>
      <c r="J611" s="4">
        <v>104.0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 t="s">
        <v>1283</v>
      </c>
      <c r="B612" s="4" t="s">
        <v>1284</v>
      </c>
      <c r="C612" s="4" t="s">
        <v>11</v>
      </c>
      <c r="D612" s="4" t="s">
        <v>1285</v>
      </c>
      <c r="E612" s="4">
        <v>4.0</v>
      </c>
      <c r="F612" s="4">
        <v>1.19404462825199</v>
      </c>
      <c r="G612" s="4">
        <v>102.0</v>
      </c>
      <c r="H612" s="4">
        <v>3.52475247524752</v>
      </c>
      <c r="I612" s="4">
        <v>1.72970552063605</v>
      </c>
      <c r="J612" s="4">
        <v>101.0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 t="s">
        <v>1286</v>
      </c>
      <c r="B613" s="4" t="s">
        <v>1287</v>
      </c>
      <c r="C613" s="4" t="s">
        <v>11</v>
      </c>
      <c r="D613" s="4" t="s">
        <v>46</v>
      </c>
      <c r="E613" s="4">
        <v>3.99019607843137</v>
      </c>
      <c r="F613" s="4">
        <v>1.45897765670237</v>
      </c>
      <c r="G613" s="4">
        <v>102.0</v>
      </c>
      <c r="H613" s="4">
        <v>4.16831683168317</v>
      </c>
      <c r="I613" s="4">
        <v>1.69156322335698</v>
      </c>
      <c r="J613" s="4">
        <v>101.0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 t="s">
        <v>1288</v>
      </c>
      <c r="B614" s="4" t="s">
        <v>1289</v>
      </c>
      <c r="C614" s="4" t="s">
        <v>25</v>
      </c>
      <c r="D614" s="4" t="s">
        <v>12</v>
      </c>
      <c r="E614" s="4">
        <v>5.09803921568627</v>
      </c>
      <c r="F614" s="4">
        <v>1.27822435565803</v>
      </c>
      <c r="G614" s="4">
        <v>102.0</v>
      </c>
      <c r="H614" s="4">
        <v>3.88118811881188</v>
      </c>
      <c r="I614" s="4">
        <v>1.58295374987945</v>
      </c>
      <c r="J614" s="4">
        <v>101.0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 t="s">
        <v>1290</v>
      </c>
      <c r="B615" s="4" t="s">
        <v>1291</v>
      </c>
      <c r="C615" s="4" t="s">
        <v>11</v>
      </c>
      <c r="D615" s="4" t="s">
        <v>12</v>
      </c>
      <c r="E615" s="4">
        <v>3.99019607843137</v>
      </c>
      <c r="F615" s="4">
        <v>1.25465547351143</v>
      </c>
      <c r="G615" s="4">
        <v>102.0</v>
      </c>
      <c r="H615" s="4">
        <v>3.4950495049505</v>
      </c>
      <c r="I615" s="4">
        <v>1.70659756460765</v>
      </c>
      <c r="J615" s="4">
        <v>101.0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 t="s">
        <v>1292</v>
      </c>
      <c r="B616" s="4" t="s">
        <v>1293</v>
      </c>
      <c r="C616" s="4" t="s">
        <v>39</v>
      </c>
      <c r="D616" s="4" t="s">
        <v>46</v>
      </c>
      <c r="E616" s="4">
        <v>5.10891089108911</v>
      </c>
      <c r="F616" s="4">
        <v>1.12161481890184</v>
      </c>
      <c r="G616" s="4">
        <v>101.0</v>
      </c>
      <c r="H616" s="4">
        <v>4.39805825242718</v>
      </c>
      <c r="I616" s="4">
        <v>1.76201647977672</v>
      </c>
      <c r="J616" s="4">
        <v>103.0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 t="s">
        <v>1294</v>
      </c>
      <c r="B617" s="4" t="s">
        <v>1295</v>
      </c>
      <c r="C617" s="4" t="s">
        <v>11</v>
      </c>
      <c r="D617" s="4" t="s">
        <v>1222</v>
      </c>
      <c r="E617" s="4">
        <v>3.98039215686275</v>
      </c>
      <c r="F617" s="4">
        <v>1.48910493520661</v>
      </c>
      <c r="G617" s="4">
        <v>102.0</v>
      </c>
      <c r="H617" s="4">
        <v>3.59405940594059</v>
      </c>
      <c r="I617" s="4">
        <v>1.66840173712318</v>
      </c>
      <c r="J617" s="4">
        <v>101.0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 t="s">
        <v>1296</v>
      </c>
      <c r="B618" s="4" t="s">
        <v>1297</v>
      </c>
      <c r="C618" s="4" t="s">
        <v>11</v>
      </c>
      <c r="D618" s="4" t="s">
        <v>1298</v>
      </c>
      <c r="E618" s="4">
        <v>3.96078431372549</v>
      </c>
      <c r="F618" s="4">
        <v>0.91111474130908</v>
      </c>
      <c r="G618" s="4">
        <v>102.0</v>
      </c>
      <c r="H618" s="4">
        <v>2.52475247524752</v>
      </c>
      <c r="I618" s="4">
        <v>1.48723945217938</v>
      </c>
      <c r="J618" s="4">
        <v>101.0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 t="s">
        <v>1299</v>
      </c>
      <c r="B619" s="4" t="s">
        <v>1300</v>
      </c>
      <c r="C619" s="4" t="s">
        <v>25</v>
      </c>
      <c r="D619" s="4" t="s">
        <v>12</v>
      </c>
      <c r="E619" s="4">
        <v>5.11881188118812</v>
      </c>
      <c r="F619" s="4">
        <v>0.972492968744466</v>
      </c>
      <c r="G619" s="4">
        <v>101.0</v>
      </c>
      <c r="H619" s="4">
        <v>3.21359223300971</v>
      </c>
      <c r="I619" s="4">
        <v>1.51883911704581</v>
      </c>
      <c r="J619" s="4">
        <v>103.0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 t="s">
        <v>1301</v>
      </c>
      <c r="B620" s="4" t="s">
        <v>1302</v>
      </c>
      <c r="C620" s="4" t="s">
        <v>11</v>
      </c>
      <c r="D620" s="4" t="s">
        <v>46</v>
      </c>
      <c r="E620" s="4">
        <v>3.96078431372549</v>
      </c>
      <c r="F620" s="4">
        <v>0.716448454993376</v>
      </c>
      <c r="G620" s="4">
        <v>102.0</v>
      </c>
      <c r="H620" s="4">
        <v>2.40594059405941</v>
      </c>
      <c r="I620" s="4">
        <v>1.3503941485491</v>
      </c>
      <c r="J620" s="4">
        <v>101.0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 t="s">
        <v>1303</v>
      </c>
      <c r="B621" s="4" t="s">
        <v>1304</v>
      </c>
      <c r="C621" s="4" t="s">
        <v>39</v>
      </c>
      <c r="D621" s="4" t="s">
        <v>12</v>
      </c>
      <c r="E621" s="4">
        <v>5.12745098039216</v>
      </c>
      <c r="F621" s="4">
        <v>1.03092353700817</v>
      </c>
      <c r="G621" s="4">
        <v>102.0</v>
      </c>
      <c r="H621" s="4">
        <v>4.54455445544554</v>
      </c>
      <c r="I621" s="4">
        <v>1.51343815516358</v>
      </c>
      <c r="J621" s="4">
        <v>101.0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 t="s">
        <v>1305</v>
      </c>
      <c r="B622" s="4" t="s">
        <v>1306</v>
      </c>
      <c r="C622" s="4" t="s">
        <v>11</v>
      </c>
      <c r="D622" s="4" t="s">
        <v>46</v>
      </c>
      <c r="E622" s="4">
        <v>3.9537037037037</v>
      </c>
      <c r="F622" s="4">
        <v>1.63709486967695</v>
      </c>
      <c r="G622" s="4">
        <v>108.0</v>
      </c>
      <c r="H622" s="4">
        <v>4.22115384615385</v>
      </c>
      <c r="I622" s="4">
        <v>1.72337854436265</v>
      </c>
      <c r="J622" s="4">
        <v>104.0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 t="s">
        <v>1307</v>
      </c>
      <c r="B623" s="4" t="s">
        <v>1308</v>
      </c>
      <c r="C623" s="4" t="s">
        <v>11</v>
      </c>
      <c r="D623" s="4" t="s">
        <v>46</v>
      </c>
      <c r="E623" s="4">
        <v>3.93069306930693</v>
      </c>
      <c r="F623" s="4">
        <v>1.57007914286239</v>
      </c>
      <c r="G623" s="4">
        <v>101.0</v>
      </c>
      <c r="H623" s="4">
        <v>4.30097087378641</v>
      </c>
      <c r="I623" s="4">
        <v>1.89340937152084</v>
      </c>
      <c r="J623" s="4">
        <v>103.0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 t="s">
        <v>1309</v>
      </c>
      <c r="B624" s="4" t="s">
        <v>1310</v>
      </c>
      <c r="C624" s="4" t="s">
        <v>11</v>
      </c>
      <c r="D624" s="4" t="s">
        <v>12</v>
      </c>
      <c r="E624" s="4">
        <v>3.89108910891089</v>
      </c>
      <c r="F624" s="4">
        <v>0.747007230206106</v>
      </c>
      <c r="G624" s="4">
        <v>101.0</v>
      </c>
      <c r="H624" s="4">
        <v>3.20388349514563</v>
      </c>
      <c r="I624" s="4">
        <v>1.69404506792939</v>
      </c>
      <c r="J624" s="4">
        <v>103.0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 t="s">
        <v>1311</v>
      </c>
      <c r="B625" s="4" t="s">
        <v>1312</v>
      </c>
      <c r="C625" s="4" t="s">
        <v>25</v>
      </c>
      <c r="D625" s="4" t="s">
        <v>12</v>
      </c>
      <c r="E625" s="4">
        <v>5.13861386138614</v>
      </c>
      <c r="F625" s="4">
        <v>1.19188676450657</v>
      </c>
      <c r="G625" s="4">
        <v>101.0</v>
      </c>
      <c r="H625" s="4">
        <v>4.32038834951456</v>
      </c>
      <c r="I625" s="4">
        <v>1.5668977232599</v>
      </c>
      <c r="J625" s="4">
        <v>103.0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 t="s">
        <v>1313</v>
      </c>
      <c r="B626" s="4" t="s">
        <v>1314</v>
      </c>
      <c r="C626" s="4" t="s">
        <v>39</v>
      </c>
      <c r="D626" s="4" t="s">
        <v>12</v>
      </c>
      <c r="E626" s="4">
        <v>5.13861386138614</v>
      </c>
      <c r="F626" s="4">
        <v>1.1491710313987</v>
      </c>
      <c r="G626" s="4">
        <v>101.0</v>
      </c>
      <c r="H626" s="4">
        <v>4.27184466019417</v>
      </c>
      <c r="I626" s="4">
        <v>1.65798232421147</v>
      </c>
      <c r="J626" s="4">
        <v>103.0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 t="s">
        <v>1315</v>
      </c>
      <c r="B627" s="4" t="s">
        <v>1316</v>
      </c>
      <c r="C627" s="4" t="s">
        <v>11</v>
      </c>
      <c r="D627" s="4" t="s">
        <v>12</v>
      </c>
      <c r="E627" s="4">
        <v>3.89108910891089</v>
      </c>
      <c r="F627" s="4">
        <v>0.870643326500696</v>
      </c>
      <c r="G627" s="4">
        <v>101.0</v>
      </c>
      <c r="H627" s="4">
        <v>2.17821782178218</v>
      </c>
      <c r="I627" s="4">
        <v>1.30687443623296</v>
      </c>
      <c r="J627" s="4">
        <v>101.0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 t="s">
        <v>1317</v>
      </c>
      <c r="B628" s="4" t="s">
        <v>1318</v>
      </c>
      <c r="C628" s="4" t="s">
        <v>25</v>
      </c>
      <c r="D628" s="4" t="s">
        <v>46</v>
      </c>
      <c r="E628" s="4">
        <v>5.14814814814815</v>
      </c>
      <c r="F628" s="4">
        <v>1.14234399793701</v>
      </c>
      <c r="G628" s="4">
        <v>108.0</v>
      </c>
      <c r="H628" s="4">
        <v>3.33653846153846</v>
      </c>
      <c r="I628" s="4">
        <v>1.61070796062746</v>
      </c>
      <c r="J628" s="4">
        <v>104.0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 t="s">
        <v>1319</v>
      </c>
      <c r="B629" s="4" t="s">
        <v>1320</v>
      </c>
      <c r="C629" s="4" t="s">
        <v>11</v>
      </c>
      <c r="D629" s="4" t="s">
        <v>12</v>
      </c>
      <c r="E629" s="4">
        <v>3.88118811881188</v>
      </c>
      <c r="F629" s="4">
        <v>1.00286717677738</v>
      </c>
      <c r="G629" s="4">
        <v>101.0</v>
      </c>
      <c r="H629" s="4">
        <v>3.13592233009709</v>
      </c>
      <c r="I629" s="4">
        <v>1.43519175250461</v>
      </c>
      <c r="J629" s="4">
        <v>103.0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 t="s">
        <v>1321</v>
      </c>
      <c r="B630" s="4" t="s">
        <v>1322</v>
      </c>
      <c r="C630" s="4" t="s">
        <v>11</v>
      </c>
      <c r="D630" s="4" t="s">
        <v>46</v>
      </c>
      <c r="E630" s="4">
        <v>3.87128712871287</v>
      </c>
      <c r="F630" s="4">
        <v>1.42592683077803</v>
      </c>
      <c r="G630" s="4">
        <v>101.0</v>
      </c>
      <c r="H630" s="4">
        <v>4.67961165048544</v>
      </c>
      <c r="I630" s="4">
        <v>1.81612382013425</v>
      </c>
      <c r="J630" s="4">
        <v>103.0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 t="s">
        <v>1323</v>
      </c>
      <c r="B631" s="4" t="s">
        <v>1324</v>
      </c>
      <c r="C631" s="4" t="s">
        <v>11</v>
      </c>
      <c r="D631" s="4" t="s">
        <v>46</v>
      </c>
      <c r="E631" s="4">
        <v>3.86138613861386</v>
      </c>
      <c r="F631" s="4">
        <v>1.53642248727553</v>
      </c>
      <c r="G631" s="4">
        <v>101.0</v>
      </c>
      <c r="H631" s="4">
        <v>3.54368932038835</v>
      </c>
      <c r="I631" s="4">
        <v>2.03294772474638</v>
      </c>
      <c r="J631" s="4">
        <v>103.0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 t="s">
        <v>1325</v>
      </c>
      <c r="B632" s="25" t="s">
        <v>1326</v>
      </c>
      <c r="C632" s="25" t="s">
        <v>39</v>
      </c>
      <c r="D632" s="25" t="s">
        <v>12</v>
      </c>
      <c r="E632" s="25">
        <v>5.15841584158416</v>
      </c>
      <c r="F632" s="25">
        <v>1.07454802840382</v>
      </c>
      <c r="G632" s="25">
        <v>101.0</v>
      </c>
      <c r="H632" s="25">
        <v>2.85436893203884</v>
      </c>
      <c r="I632" s="25">
        <v>1.79546141860302</v>
      </c>
      <c r="J632" s="25">
        <v>103.0</v>
      </c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" t="s">
        <v>1327</v>
      </c>
      <c r="B633" s="4" t="s">
        <v>1328</v>
      </c>
      <c r="C633" s="4" t="s">
        <v>11</v>
      </c>
      <c r="D633" s="4" t="s">
        <v>12</v>
      </c>
      <c r="E633" s="4">
        <v>3.82407407407407</v>
      </c>
      <c r="F633" s="4">
        <v>1.03966838443897</v>
      </c>
      <c r="G633" s="4">
        <v>108.0</v>
      </c>
      <c r="H633" s="4">
        <v>3.01923076923077</v>
      </c>
      <c r="I633" s="4">
        <v>1.51356820887846</v>
      </c>
      <c r="J633" s="4">
        <v>104.0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 t="s">
        <v>1329</v>
      </c>
      <c r="B634" s="4" t="s">
        <v>1330</v>
      </c>
      <c r="C634" s="4" t="s">
        <v>11</v>
      </c>
      <c r="D634" s="4" t="s">
        <v>12</v>
      </c>
      <c r="E634" s="4">
        <v>3.81188118811881</v>
      </c>
      <c r="F634" s="4">
        <v>1.1976048704571</v>
      </c>
      <c r="G634" s="4">
        <v>101.0</v>
      </c>
      <c r="H634" s="4">
        <v>3.88349514563107</v>
      </c>
      <c r="I634" s="4">
        <v>1.82735730578763</v>
      </c>
      <c r="J634" s="4">
        <v>103.0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 t="s">
        <v>1331</v>
      </c>
      <c r="B635" s="4" t="s">
        <v>1332</v>
      </c>
      <c r="C635" s="4" t="s">
        <v>11</v>
      </c>
      <c r="D635" s="4" t="s">
        <v>12</v>
      </c>
      <c r="E635" s="4">
        <v>3.81188118811881</v>
      </c>
      <c r="F635" s="4">
        <v>0.560586679954647</v>
      </c>
      <c r="G635" s="4">
        <v>101.0</v>
      </c>
      <c r="H635" s="4">
        <v>2.60194174757282</v>
      </c>
      <c r="I635" s="4">
        <v>1.43718001263942</v>
      </c>
      <c r="J635" s="4">
        <v>103.0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 t="s">
        <v>1333</v>
      </c>
      <c r="B636" s="4" t="s">
        <v>1334</v>
      </c>
      <c r="C636" s="4" t="s">
        <v>11</v>
      </c>
      <c r="D636" s="17" t="s">
        <v>1335</v>
      </c>
      <c r="E636" s="4">
        <v>3.8019801980198</v>
      </c>
      <c r="F636" s="4">
        <v>0.927575355215931</v>
      </c>
      <c r="G636" s="4">
        <v>101.0</v>
      </c>
      <c r="H636" s="4">
        <v>3.03883495145631</v>
      </c>
      <c r="I636" s="4">
        <v>1.48800649704126</v>
      </c>
      <c r="J636" s="4">
        <v>103.0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1" t="s">
        <v>1336</v>
      </c>
      <c r="B637" s="22" t="s">
        <v>1337</v>
      </c>
      <c r="C637" s="22" t="s">
        <v>25</v>
      </c>
      <c r="D637" s="22" t="s">
        <v>46</v>
      </c>
      <c r="E637" s="22">
        <v>5.18518518518519</v>
      </c>
      <c r="F637" s="22">
        <v>1.23914462619917</v>
      </c>
      <c r="G637" s="22">
        <v>108.0</v>
      </c>
      <c r="H637" s="22">
        <v>3.38461538461538</v>
      </c>
      <c r="I637" s="22">
        <v>1.71971826721587</v>
      </c>
      <c r="J637" s="22">
        <v>104.0</v>
      </c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" t="s">
        <v>1338</v>
      </c>
      <c r="B638" s="4" t="s">
        <v>1339</v>
      </c>
      <c r="C638" s="4" t="s">
        <v>11</v>
      </c>
      <c r="D638" s="4" t="s">
        <v>12</v>
      </c>
      <c r="E638" s="4">
        <v>3.77450980392157</v>
      </c>
      <c r="F638" s="4">
        <v>1.01383364918499</v>
      </c>
      <c r="G638" s="4">
        <v>102.0</v>
      </c>
      <c r="H638" s="4">
        <v>3.1980198019802</v>
      </c>
      <c r="I638" s="4">
        <v>1.61876373804331</v>
      </c>
      <c r="J638" s="4">
        <v>101.0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 t="s">
        <v>1340</v>
      </c>
      <c r="B639" s="4" t="s">
        <v>1341</v>
      </c>
      <c r="C639" s="4" t="s">
        <v>11</v>
      </c>
      <c r="D639" s="4" t="s">
        <v>12</v>
      </c>
      <c r="E639" s="4">
        <v>3.76470588235294</v>
      </c>
      <c r="F639" s="4">
        <v>0.88077902723472</v>
      </c>
      <c r="G639" s="4">
        <v>102.0</v>
      </c>
      <c r="H639" s="4">
        <v>3.06930693069307</v>
      </c>
      <c r="I639" s="4">
        <v>1.51167076933156</v>
      </c>
      <c r="J639" s="4">
        <v>101.0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 t="s">
        <v>1342</v>
      </c>
      <c r="B640" s="4" t="s">
        <v>1343</v>
      </c>
      <c r="C640" s="4" t="s">
        <v>11</v>
      </c>
      <c r="D640" s="4" t="s">
        <v>12</v>
      </c>
      <c r="E640" s="4">
        <v>3.74074074074074</v>
      </c>
      <c r="F640" s="4">
        <v>0.950851761497749</v>
      </c>
      <c r="G640" s="4">
        <v>108.0</v>
      </c>
      <c r="H640" s="4">
        <v>3.36538461538462</v>
      </c>
      <c r="I640" s="4">
        <v>1.7239472223337</v>
      </c>
      <c r="J640" s="4">
        <v>104.0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 t="s">
        <v>1344</v>
      </c>
      <c r="B641" s="4" t="s">
        <v>1345</v>
      </c>
      <c r="C641" s="4" t="s">
        <v>25</v>
      </c>
      <c r="D641" s="4" t="s">
        <v>12</v>
      </c>
      <c r="E641" s="4">
        <v>5.2037037037037</v>
      </c>
      <c r="F641" s="4">
        <v>1.22862478595341</v>
      </c>
      <c r="G641" s="4">
        <v>108.0</v>
      </c>
      <c r="H641" s="4">
        <v>3.03846153846154</v>
      </c>
      <c r="I641" s="4">
        <v>1.69478398499275</v>
      </c>
      <c r="J641" s="4">
        <v>104.0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 t="s">
        <v>1346</v>
      </c>
      <c r="B642" s="4" t="s">
        <v>1347</v>
      </c>
      <c r="C642" s="4" t="s">
        <v>15</v>
      </c>
      <c r="D642" s="4" t="s">
        <v>12</v>
      </c>
      <c r="E642" s="4">
        <v>5.2037037037037</v>
      </c>
      <c r="F642" s="4">
        <v>1.07442015884996</v>
      </c>
      <c r="G642" s="4">
        <v>108.0</v>
      </c>
      <c r="H642" s="4">
        <v>2.42307692307692</v>
      </c>
      <c r="I642" s="4">
        <v>1.53719140998075</v>
      </c>
      <c r="J642" s="4">
        <v>104.0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 t="s">
        <v>1348</v>
      </c>
      <c r="B643" s="4" t="s">
        <v>1349</v>
      </c>
      <c r="C643" s="4" t="s">
        <v>11</v>
      </c>
      <c r="D643" s="4" t="s">
        <v>12</v>
      </c>
      <c r="E643" s="4">
        <v>3.73529411764706</v>
      </c>
      <c r="F643" s="4">
        <v>1.27369790306881</v>
      </c>
      <c r="G643" s="4">
        <v>102.0</v>
      </c>
      <c r="H643" s="4">
        <v>3.89108910891089</v>
      </c>
      <c r="I643" s="4">
        <v>1.66673927234592</v>
      </c>
      <c r="J643" s="4">
        <v>101.0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 t="s">
        <v>1350</v>
      </c>
      <c r="B644" s="4" t="s">
        <v>1351</v>
      </c>
      <c r="C644" s="4" t="s">
        <v>11</v>
      </c>
      <c r="D644" s="4" t="s">
        <v>12</v>
      </c>
      <c r="E644" s="4">
        <v>3.73267326732673</v>
      </c>
      <c r="F644" s="4">
        <v>1.13040779463794</v>
      </c>
      <c r="G644" s="4">
        <v>101.0</v>
      </c>
      <c r="H644" s="4">
        <v>3.92233009708738</v>
      </c>
      <c r="I644" s="4">
        <v>1.87705088040114</v>
      </c>
      <c r="J644" s="4">
        <v>103.0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 t="s">
        <v>1352</v>
      </c>
      <c r="B645" s="4" t="s">
        <v>1353</v>
      </c>
      <c r="C645" s="4" t="s">
        <v>11</v>
      </c>
      <c r="D645" s="4" t="s">
        <v>46</v>
      </c>
      <c r="E645" s="4">
        <v>3.72277227722772</v>
      </c>
      <c r="F645" s="4">
        <v>1.43609757245939</v>
      </c>
      <c r="G645" s="4">
        <v>101.0</v>
      </c>
      <c r="H645" s="4">
        <v>3.48543689320388</v>
      </c>
      <c r="I645" s="4">
        <v>2.05256452536392</v>
      </c>
      <c r="J645" s="4">
        <v>103.0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 t="s">
        <v>1354</v>
      </c>
      <c r="B646" s="4" t="s">
        <v>1355</v>
      </c>
      <c r="C646" s="4" t="s">
        <v>11</v>
      </c>
      <c r="D646" s="4" t="s">
        <v>1356</v>
      </c>
      <c r="E646" s="4">
        <v>3.70588235294118</v>
      </c>
      <c r="F646" s="4">
        <v>0.990931507899948</v>
      </c>
      <c r="G646" s="4">
        <v>102.0</v>
      </c>
      <c r="H646" s="4">
        <v>2.35643564356436</v>
      </c>
      <c r="I646" s="4">
        <v>1.40416636062713</v>
      </c>
      <c r="J646" s="4">
        <v>101.0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7" t="s">
        <v>1357</v>
      </c>
      <c r="B647" s="28" t="s">
        <v>1358</v>
      </c>
      <c r="C647" s="28" t="s">
        <v>15</v>
      </c>
      <c r="D647" s="28" t="s">
        <v>12</v>
      </c>
      <c r="E647" s="28">
        <v>5.22549019607843</v>
      </c>
      <c r="F647" s="28">
        <v>1.28129623989083</v>
      </c>
      <c r="G647" s="28">
        <v>102.0</v>
      </c>
      <c r="H647" s="28">
        <v>4.32673267326733</v>
      </c>
      <c r="I647" s="28">
        <v>1.88206753806068</v>
      </c>
      <c r="J647" s="28">
        <v>101.0</v>
      </c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" t="s">
        <v>1359</v>
      </c>
      <c r="B648" s="4" t="s">
        <v>1360</v>
      </c>
      <c r="C648" s="4" t="s">
        <v>39</v>
      </c>
      <c r="D648" s="4" t="s">
        <v>12</v>
      </c>
      <c r="E648" s="4">
        <v>5.22549019607843</v>
      </c>
      <c r="F648" s="4">
        <v>1.15960784379379</v>
      </c>
      <c r="G648" s="4">
        <v>102.0</v>
      </c>
      <c r="H648" s="4">
        <v>2.10891089108911</v>
      </c>
      <c r="I648" s="4">
        <v>1.5093110355325</v>
      </c>
      <c r="J648" s="4">
        <v>101.0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 t="s">
        <v>1361</v>
      </c>
      <c r="B649" s="4" t="s">
        <v>1362</v>
      </c>
      <c r="C649" s="4" t="s">
        <v>25</v>
      </c>
      <c r="D649" s="4" t="s">
        <v>12</v>
      </c>
      <c r="E649" s="4">
        <v>5.22772277227723</v>
      </c>
      <c r="F649" s="4">
        <v>1.23191873205023</v>
      </c>
      <c r="G649" s="4">
        <v>101.0</v>
      </c>
      <c r="H649" s="4">
        <v>3.84466019417476</v>
      </c>
      <c r="I649" s="4">
        <v>1.60731954162517</v>
      </c>
      <c r="J649" s="4">
        <v>103.0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 t="s">
        <v>1363</v>
      </c>
      <c r="B650" s="4" t="s">
        <v>1364</v>
      </c>
      <c r="C650" s="4" t="s">
        <v>39</v>
      </c>
      <c r="D650" s="4" t="s">
        <v>12</v>
      </c>
      <c r="E650" s="4">
        <v>5.23148148148148</v>
      </c>
      <c r="F650" s="4">
        <v>1.27232572007785</v>
      </c>
      <c r="G650" s="4">
        <v>108.0</v>
      </c>
      <c r="H650" s="4">
        <v>4.68269230769231</v>
      </c>
      <c r="I650" s="4">
        <v>1.59041072473066</v>
      </c>
      <c r="J650" s="4">
        <v>104.0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 t="s">
        <v>1365</v>
      </c>
      <c r="B651" s="4" t="s">
        <v>1366</v>
      </c>
      <c r="C651" s="4" t="s">
        <v>15</v>
      </c>
      <c r="D651" s="4" t="s">
        <v>12</v>
      </c>
      <c r="E651" s="4">
        <v>5.24509803921569</v>
      </c>
      <c r="F651" s="4">
        <v>1.0848759979312</v>
      </c>
      <c r="G651" s="4">
        <v>102.0</v>
      </c>
      <c r="H651" s="4">
        <v>2.88118811881188</v>
      </c>
      <c r="I651" s="4">
        <v>1.63271019297897</v>
      </c>
      <c r="J651" s="4">
        <v>101.0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 t="s">
        <v>1367</v>
      </c>
      <c r="B652" s="4" t="s">
        <v>1368</v>
      </c>
      <c r="C652" s="4" t="s">
        <v>39</v>
      </c>
      <c r="D652" s="4" t="s">
        <v>12</v>
      </c>
      <c r="E652" s="4">
        <v>5.25490196078431</v>
      </c>
      <c r="F652" s="4">
        <v>1.12299347581755</v>
      </c>
      <c r="G652" s="4">
        <v>102.0</v>
      </c>
      <c r="H652" s="4">
        <v>3.66336633663366</v>
      </c>
      <c r="I652" s="4">
        <v>1.66899507322683</v>
      </c>
      <c r="J652" s="4">
        <v>101.0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 t="s">
        <v>1369</v>
      </c>
      <c r="B653" s="4" t="s">
        <v>1370</v>
      </c>
      <c r="C653" s="4" t="s">
        <v>15</v>
      </c>
      <c r="D653" s="4" t="s">
        <v>12</v>
      </c>
      <c r="E653" s="4">
        <v>5.25925925925926</v>
      </c>
      <c r="F653" s="4">
        <v>1.15500026597376</v>
      </c>
      <c r="G653" s="4">
        <v>108.0</v>
      </c>
      <c r="H653" s="4">
        <v>3.16346153846154</v>
      </c>
      <c r="I653" s="4">
        <v>1.61371895703457</v>
      </c>
      <c r="J653" s="4">
        <v>104.0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 t="s">
        <v>1371</v>
      </c>
      <c r="B654" s="4" t="s">
        <v>1372</v>
      </c>
      <c r="C654" s="4" t="s">
        <v>39</v>
      </c>
      <c r="D654" s="4" t="s">
        <v>12</v>
      </c>
      <c r="E654" s="4">
        <v>5.27450980392157</v>
      </c>
      <c r="F654" s="4">
        <v>1.17866229550013</v>
      </c>
      <c r="G654" s="4">
        <v>102.0</v>
      </c>
      <c r="H654" s="4">
        <v>3.61386138613861</v>
      </c>
      <c r="I654" s="4">
        <v>1.8109130129838</v>
      </c>
      <c r="J654" s="4">
        <v>101.0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 t="s">
        <v>1373</v>
      </c>
      <c r="B655" s="4" t="s">
        <v>1374</v>
      </c>
      <c r="C655" s="4" t="s">
        <v>11</v>
      </c>
      <c r="D655" s="4" t="s">
        <v>12</v>
      </c>
      <c r="E655" s="4">
        <v>3.69607843137255</v>
      </c>
      <c r="F655" s="4">
        <v>1.05106467178888</v>
      </c>
      <c r="G655" s="4">
        <v>102.0</v>
      </c>
      <c r="H655" s="4">
        <v>4.1980198019802</v>
      </c>
      <c r="I655" s="4">
        <v>1.51009802317729</v>
      </c>
      <c r="J655" s="4">
        <v>101.0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 t="s">
        <v>1375</v>
      </c>
      <c r="B656" s="4" t="s">
        <v>1376</v>
      </c>
      <c r="C656" s="4" t="s">
        <v>11</v>
      </c>
      <c r="D656" s="4" t="s">
        <v>12</v>
      </c>
      <c r="E656" s="4">
        <v>3.69607843137255</v>
      </c>
      <c r="F656" s="4">
        <v>1.26482664789811</v>
      </c>
      <c r="G656" s="4">
        <v>102.0</v>
      </c>
      <c r="H656" s="4">
        <v>4.11881188118812</v>
      </c>
      <c r="I656" s="4">
        <v>1.53809706269059</v>
      </c>
      <c r="J656" s="4">
        <v>101.0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 t="s">
        <v>1377</v>
      </c>
      <c r="B657" s="4" t="s">
        <v>1378</v>
      </c>
      <c r="C657" s="4" t="s">
        <v>15</v>
      </c>
      <c r="D657" s="4" t="s">
        <v>12</v>
      </c>
      <c r="E657" s="4">
        <v>5.2843137254902</v>
      </c>
      <c r="F657" s="4">
        <v>1.22172942654703</v>
      </c>
      <c r="G657" s="4">
        <v>102.0</v>
      </c>
      <c r="H657" s="4">
        <v>3.24752475247525</v>
      </c>
      <c r="I657" s="4">
        <v>1.55824221861724</v>
      </c>
      <c r="J657" s="4">
        <v>101.0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 t="s">
        <v>1379</v>
      </c>
      <c r="B658" s="4" t="s">
        <v>1380</v>
      </c>
      <c r="C658" s="4" t="s">
        <v>11</v>
      </c>
      <c r="D658" s="4" t="s">
        <v>12</v>
      </c>
      <c r="E658" s="4">
        <v>3.68316831683168</v>
      </c>
      <c r="F658" s="4">
        <v>1.05764543273544</v>
      </c>
      <c r="G658" s="4">
        <v>101.0</v>
      </c>
      <c r="H658" s="4">
        <v>3.64077669902913</v>
      </c>
      <c r="I658" s="4">
        <v>1.73688005688383</v>
      </c>
      <c r="J658" s="4">
        <v>103.0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 t="s">
        <v>1381</v>
      </c>
      <c r="B659" s="4" t="s">
        <v>1382</v>
      </c>
      <c r="C659" s="4" t="s">
        <v>11</v>
      </c>
      <c r="D659" s="4" t="s">
        <v>12</v>
      </c>
      <c r="E659" s="4">
        <v>3.67647058823529</v>
      </c>
      <c r="F659" s="4">
        <v>1.1953852248376</v>
      </c>
      <c r="G659" s="4">
        <v>102.0</v>
      </c>
      <c r="H659" s="4">
        <v>4.10891089108911</v>
      </c>
      <c r="I659" s="4">
        <v>1.49600127071477</v>
      </c>
      <c r="J659" s="4">
        <v>101.0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 t="s">
        <v>1383</v>
      </c>
      <c r="B660" s="4" t="s">
        <v>1384</v>
      </c>
      <c r="C660" s="4" t="s">
        <v>11</v>
      </c>
      <c r="D660" s="4" t="s">
        <v>46</v>
      </c>
      <c r="E660" s="4">
        <v>3.67592592592593</v>
      </c>
      <c r="F660" s="4">
        <v>1.38637363107102</v>
      </c>
      <c r="G660" s="4">
        <v>108.0</v>
      </c>
      <c r="H660" s="4">
        <v>3.91346153846154</v>
      </c>
      <c r="I660" s="4">
        <v>1.79053919808129</v>
      </c>
      <c r="J660" s="4">
        <v>104.0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 t="s">
        <v>1385</v>
      </c>
      <c r="B661" s="4" t="s">
        <v>1386</v>
      </c>
      <c r="C661" s="4" t="s">
        <v>11</v>
      </c>
      <c r="D661" s="4" t="s">
        <v>1387</v>
      </c>
      <c r="E661" s="4">
        <v>3.64814814814815</v>
      </c>
      <c r="F661" s="4">
        <v>0.777184167481206</v>
      </c>
      <c r="G661" s="4">
        <v>108.0</v>
      </c>
      <c r="H661" s="4">
        <v>2.375</v>
      </c>
      <c r="I661" s="4">
        <v>1.47593972039932</v>
      </c>
      <c r="J661" s="4">
        <v>104.0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 t="s">
        <v>1388</v>
      </c>
      <c r="B662" s="4" t="s">
        <v>1389</v>
      </c>
      <c r="C662" s="4" t="s">
        <v>11</v>
      </c>
      <c r="D662" s="4" t="s">
        <v>12</v>
      </c>
      <c r="E662" s="4">
        <v>3.64356435643564</v>
      </c>
      <c r="F662" s="4">
        <v>1.26161926440461</v>
      </c>
      <c r="G662" s="4">
        <v>101.0</v>
      </c>
      <c r="H662" s="4">
        <v>3.76470588235294</v>
      </c>
      <c r="I662" s="4">
        <v>1.79204220351335</v>
      </c>
      <c r="J662" s="4">
        <v>102.0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 t="s">
        <v>1390</v>
      </c>
      <c r="B663" s="4" t="s">
        <v>1391</v>
      </c>
      <c r="C663" s="4" t="s">
        <v>11</v>
      </c>
      <c r="D663" s="4" t="s">
        <v>46</v>
      </c>
      <c r="E663" s="4">
        <v>3.63725490196078</v>
      </c>
      <c r="F663" s="4">
        <v>0.941761733191812</v>
      </c>
      <c r="G663" s="4">
        <v>102.0</v>
      </c>
      <c r="H663" s="4">
        <v>2.6039603960396</v>
      </c>
      <c r="I663" s="4">
        <v>1.41477353608832</v>
      </c>
      <c r="J663" s="4">
        <v>101.0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 t="s">
        <v>1392</v>
      </c>
      <c r="B664" s="4" t="s">
        <v>1393</v>
      </c>
      <c r="C664" s="4" t="s">
        <v>39</v>
      </c>
      <c r="D664" s="4" t="s">
        <v>46</v>
      </c>
      <c r="E664" s="4">
        <v>5.30392156862745</v>
      </c>
      <c r="F664" s="4">
        <v>1.02241430139088</v>
      </c>
      <c r="G664" s="4">
        <v>102.0</v>
      </c>
      <c r="H664" s="4">
        <v>4.56435643564356</v>
      </c>
      <c r="I664" s="4">
        <v>1.43816439661228</v>
      </c>
      <c r="J664" s="4">
        <v>101.0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 t="s">
        <v>1394</v>
      </c>
      <c r="B665" s="4" t="s">
        <v>1395</v>
      </c>
      <c r="C665" s="4" t="s">
        <v>11</v>
      </c>
      <c r="D665" s="4" t="s">
        <v>12</v>
      </c>
      <c r="E665" s="4">
        <v>3.59803921568627</v>
      </c>
      <c r="F665" s="4">
        <v>0.987644501737968</v>
      </c>
      <c r="G665" s="4">
        <v>102.0</v>
      </c>
      <c r="H665" s="4">
        <v>3.28712871287129</v>
      </c>
      <c r="I665" s="4">
        <v>1.51879316342527</v>
      </c>
      <c r="J665" s="4">
        <v>101.0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 t="s">
        <v>1396</v>
      </c>
      <c r="B666" s="4" t="s">
        <v>1397</v>
      </c>
      <c r="C666" s="4" t="s">
        <v>15</v>
      </c>
      <c r="D666" s="4" t="s">
        <v>12</v>
      </c>
      <c r="E666" s="4">
        <v>5.30392156862745</v>
      </c>
      <c r="F666" s="4">
        <v>1.03205280091991</v>
      </c>
      <c r="G666" s="4">
        <v>102.0</v>
      </c>
      <c r="H666" s="4">
        <v>2.84158415841584</v>
      </c>
      <c r="I666" s="4">
        <v>1.66572910923311</v>
      </c>
      <c r="J666" s="4">
        <v>101.0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 t="s">
        <v>1398</v>
      </c>
      <c r="B667" s="4" t="s">
        <v>1399</v>
      </c>
      <c r="C667" s="4" t="s">
        <v>39</v>
      </c>
      <c r="D667" s="4" t="s">
        <v>12</v>
      </c>
      <c r="E667" s="4">
        <v>5.30555555555556</v>
      </c>
      <c r="F667" s="4">
        <v>1.25644754611447</v>
      </c>
      <c r="G667" s="4">
        <v>108.0</v>
      </c>
      <c r="H667" s="4">
        <v>4.20192307692308</v>
      </c>
      <c r="I667" s="4">
        <v>1.77567057040655</v>
      </c>
      <c r="J667" s="4">
        <v>104.0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 t="s">
        <v>1400</v>
      </c>
      <c r="B668" s="4" t="s">
        <v>1401</v>
      </c>
      <c r="C668" s="4" t="s">
        <v>11</v>
      </c>
      <c r="D668" s="4" t="s">
        <v>12</v>
      </c>
      <c r="E668" s="4">
        <v>3.55882352941176</v>
      </c>
      <c r="F668" s="4">
        <v>1.34660210013001</v>
      </c>
      <c r="G668" s="4">
        <v>102.0</v>
      </c>
      <c r="H668" s="4">
        <v>3.73267326732673</v>
      </c>
      <c r="I668" s="4">
        <v>1.60555964765505</v>
      </c>
      <c r="J668" s="4">
        <v>101.0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 t="s">
        <v>1402</v>
      </c>
      <c r="B669" s="4" t="s">
        <v>1403</v>
      </c>
      <c r="C669" s="4" t="s">
        <v>11</v>
      </c>
      <c r="D669" s="4" t="s">
        <v>12</v>
      </c>
      <c r="E669" s="4">
        <v>3.55882352941176</v>
      </c>
      <c r="F669" s="4">
        <v>1.06774055338452</v>
      </c>
      <c r="G669" s="4">
        <v>102.0</v>
      </c>
      <c r="H669" s="4">
        <v>2.92079207920792</v>
      </c>
      <c r="I669" s="4">
        <v>1.44694967650455</v>
      </c>
      <c r="J669" s="4">
        <v>101.0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 t="s">
        <v>1404</v>
      </c>
      <c r="B670" s="4" t="s">
        <v>1405</v>
      </c>
      <c r="C670" s="4" t="s">
        <v>25</v>
      </c>
      <c r="D670" s="4" t="s">
        <v>46</v>
      </c>
      <c r="E670" s="4">
        <v>5.32673267326733</v>
      </c>
      <c r="F670" s="4">
        <v>1.31231787986821</v>
      </c>
      <c r="G670" s="4">
        <v>101.0</v>
      </c>
      <c r="H670" s="4">
        <v>4.22330097087379</v>
      </c>
      <c r="I670" s="4">
        <v>1.61446912803906</v>
      </c>
      <c r="J670" s="4">
        <v>103.0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 t="s">
        <v>1406</v>
      </c>
      <c r="B671" s="4" t="s">
        <v>1407</v>
      </c>
      <c r="C671" s="4" t="s">
        <v>11</v>
      </c>
      <c r="D671" s="4" t="s">
        <v>46</v>
      </c>
      <c r="E671" s="4">
        <v>3.54901960784314</v>
      </c>
      <c r="F671" s="4">
        <v>1.81646730902602</v>
      </c>
      <c r="G671" s="4">
        <v>102.0</v>
      </c>
      <c r="H671" s="4">
        <v>4.30693069306931</v>
      </c>
      <c r="I671" s="4">
        <v>2.02850967095267</v>
      </c>
      <c r="J671" s="4">
        <v>101.0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 t="s">
        <v>1408</v>
      </c>
      <c r="B672" s="4" t="s">
        <v>1409</v>
      </c>
      <c r="C672" s="4" t="s">
        <v>11</v>
      </c>
      <c r="D672" s="4" t="s">
        <v>46</v>
      </c>
      <c r="E672" s="4">
        <v>3.54455445544554</v>
      </c>
      <c r="F672" s="4">
        <v>1.57813023844832</v>
      </c>
      <c r="G672" s="4">
        <v>101.0</v>
      </c>
      <c r="H672" s="4">
        <v>3.71844660194175</v>
      </c>
      <c r="I672" s="4">
        <v>2.22471622216846</v>
      </c>
      <c r="J672" s="4">
        <v>103.0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 t="s">
        <v>1410</v>
      </c>
      <c r="B673" s="4" t="s">
        <v>1411</v>
      </c>
      <c r="C673" s="4" t="s">
        <v>25</v>
      </c>
      <c r="D673" s="4" t="s">
        <v>12</v>
      </c>
      <c r="E673" s="4">
        <v>5.33333333333333</v>
      </c>
      <c r="F673" s="4">
        <v>1.33954937324627</v>
      </c>
      <c r="G673" s="4">
        <v>108.0</v>
      </c>
      <c r="H673" s="4">
        <v>3.60576923076923</v>
      </c>
      <c r="I673" s="4">
        <v>1.75387653433326</v>
      </c>
      <c r="J673" s="4">
        <v>104.0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 t="s">
        <v>1412</v>
      </c>
      <c r="B674" s="4" t="s">
        <v>1413</v>
      </c>
      <c r="C674" s="4" t="s">
        <v>15</v>
      </c>
      <c r="D674" s="4" t="s">
        <v>12</v>
      </c>
      <c r="E674" s="4">
        <v>5.33333333333333</v>
      </c>
      <c r="F674" s="4">
        <v>1.1286839206524</v>
      </c>
      <c r="G674" s="4">
        <v>102.0</v>
      </c>
      <c r="H674" s="4">
        <v>3.55445544554455</v>
      </c>
      <c r="I674" s="4">
        <v>1.60296754505356</v>
      </c>
      <c r="J674" s="4">
        <v>101.0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 t="s">
        <v>1414</v>
      </c>
      <c r="B675" s="4" t="s">
        <v>1415</v>
      </c>
      <c r="C675" s="4" t="s">
        <v>15</v>
      </c>
      <c r="D675" s="4" t="s">
        <v>12</v>
      </c>
      <c r="E675" s="4">
        <v>5.33333333333333</v>
      </c>
      <c r="F675" s="4">
        <v>1.11987740960395</v>
      </c>
      <c r="G675" s="4">
        <v>102.0</v>
      </c>
      <c r="H675" s="4">
        <v>3.40594059405941</v>
      </c>
      <c r="I675" s="4">
        <v>1.64425191392184</v>
      </c>
      <c r="J675" s="4">
        <v>101.0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 t="s">
        <v>1416</v>
      </c>
      <c r="B676" s="4" t="s">
        <v>1417</v>
      </c>
      <c r="C676" s="4" t="s">
        <v>25</v>
      </c>
      <c r="D676" s="4" t="s">
        <v>1418</v>
      </c>
      <c r="E676" s="4">
        <v>5.33333333333333</v>
      </c>
      <c r="F676" s="4">
        <v>1.22283568103149</v>
      </c>
      <c r="G676" s="4">
        <v>108.0</v>
      </c>
      <c r="H676" s="4">
        <v>3.30769230769231</v>
      </c>
      <c r="I676" s="4">
        <v>1.76303425051357</v>
      </c>
      <c r="J676" s="4">
        <v>104.0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 t="s">
        <v>1419</v>
      </c>
      <c r="B677" s="4" t="s">
        <v>1420</v>
      </c>
      <c r="C677" s="4" t="s">
        <v>11</v>
      </c>
      <c r="D677" s="4" t="s">
        <v>46</v>
      </c>
      <c r="E677" s="4">
        <v>3.53703703703704</v>
      </c>
      <c r="F677" s="4">
        <v>1.32852195241731</v>
      </c>
      <c r="G677" s="4">
        <v>108.0</v>
      </c>
      <c r="H677" s="4">
        <v>3.51923076923077</v>
      </c>
      <c r="I677" s="4">
        <v>1.96068528356286</v>
      </c>
      <c r="J677" s="4">
        <v>104.0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 t="s">
        <v>1421</v>
      </c>
      <c r="B678" s="4" t="s">
        <v>1422</v>
      </c>
      <c r="C678" s="4" t="s">
        <v>15</v>
      </c>
      <c r="D678" s="4" t="s">
        <v>12</v>
      </c>
      <c r="E678" s="4">
        <v>5.33333333333333</v>
      </c>
      <c r="F678" s="4">
        <v>1.1600837868548</v>
      </c>
      <c r="G678" s="4">
        <v>108.0</v>
      </c>
      <c r="H678" s="4">
        <v>2.80769230769231</v>
      </c>
      <c r="I678" s="4">
        <v>1.63146799746007</v>
      </c>
      <c r="J678" s="4">
        <v>104.0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 t="s">
        <v>1423</v>
      </c>
      <c r="B679" s="4" t="s">
        <v>1424</v>
      </c>
      <c r="C679" s="4" t="s">
        <v>15</v>
      </c>
      <c r="D679" s="4" t="s">
        <v>12</v>
      </c>
      <c r="E679" s="4">
        <v>5.34259259259259</v>
      </c>
      <c r="F679" s="4">
        <v>1.29818015711166</v>
      </c>
      <c r="G679" s="4">
        <v>108.0</v>
      </c>
      <c r="H679" s="4">
        <v>2.96153846153846</v>
      </c>
      <c r="I679" s="4">
        <v>1.90004127151433</v>
      </c>
      <c r="J679" s="4">
        <v>104.0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 t="s">
        <v>1425</v>
      </c>
      <c r="B680" s="4" t="s">
        <v>1426</v>
      </c>
      <c r="C680" s="4" t="s">
        <v>39</v>
      </c>
      <c r="D680" s="4" t="s">
        <v>12</v>
      </c>
      <c r="E680" s="4">
        <v>5.34313725490196</v>
      </c>
      <c r="F680" s="4">
        <v>1.20637824749291</v>
      </c>
      <c r="G680" s="4">
        <v>102.0</v>
      </c>
      <c r="H680" s="4">
        <v>4.16831683168317</v>
      </c>
      <c r="I680" s="4">
        <v>1.78364406163726</v>
      </c>
      <c r="J680" s="4">
        <v>101.0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 t="s">
        <v>1427</v>
      </c>
      <c r="B681" s="4" t="s">
        <v>1428</v>
      </c>
      <c r="C681" s="4" t="s">
        <v>11</v>
      </c>
      <c r="D681" s="4" t="s">
        <v>46</v>
      </c>
      <c r="E681" s="4">
        <v>3.52475247524752</v>
      </c>
      <c r="F681" s="4">
        <v>1.08253461289642</v>
      </c>
      <c r="G681" s="4">
        <v>101.0</v>
      </c>
      <c r="H681" s="4">
        <v>3.43689320388349</v>
      </c>
      <c r="I681" s="4">
        <v>1.71309777265597</v>
      </c>
      <c r="J681" s="4">
        <v>103.0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 t="s">
        <v>1429</v>
      </c>
      <c r="B682" s="4" t="s">
        <v>1430</v>
      </c>
      <c r="C682" s="4" t="s">
        <v>11</v>
      </c>
      <c r="D682" s="4" t="s">
        <v>46</v>
      </c>
      <c r="E682" s="4">
        <v>3.48514851485149</v>
      </c>
      <c r="F682" s="4">
        <v>1.18839270770346</v>
      </c>
      <c r="G682" s="4">
        <v>101.0</v>
      </c>
      <c r="H682" s="4">
        <v>3.89320388349515</v>
      </c>
      <c r="I682" s="4">
        <v>1.86249159155477</v>
      </c>
      <c r="J682" s="4">
        <v>103.0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 t="s">
        <v>1431</v>
      </c>
      <c r="B683" s="4" t="s">
        <v>1432</v>
      </c>
      <c r="C683" s="4" t="s">
        <v>11</v>
      </c>
      <c r="D683" s="4" t="s">
        <v>12</v>
      </c>
      <c r="E683" s="4">
        <v>3.48514851485149</v>
      </c>
      <c r="F683" s="4">
        <v>0.933957829734711</v>
      </c>
      <c r="G683" s="4">
        <v>101.0</v>
      </c>
      <c r="H683" s="4">
        <v>3.24271844660194</v>
      </c>
      <c r="I683" s="4">
        <v>1.62375756073034</v>
      </c>
      <c r="J683" s="4">
        <v>103.0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 t="s">
        <v>1433</v>
      </c>
      <c r="B684" s="4" t="s">
        <v>1434</v>
      </c>
      <c r="C684" s="4" t="s">
        <v>25</v>
      </c>
      <c r="D684" s="4" t="s">
        <v>12</v>
      </c>
      <c r="E684" s="4">
        <v>5.36274509803922</v>
      </c>
      <c r="F684" s="4">
        <v>1.03205280091991</v>
      </c>
      <c r="G684" s="4">
        <v>102.0</v>
      </c>
      <c r="H684" s="4">
        <v>4.0</v>
      </c>
      <c r="I684" s="4">
        <v>1.70880074906351</v>
      </c>
      <c r="J684" s="4">
        <v>101.0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 t="s">
        <v>1435</v>
      </c>
      <c r="B685" s="4" t="s">
        <v>1436</v>
      </c>
      <c r="C685" s="4" t="s">
        <v>11</v>
      </c>
      <c r="D685" s="4" t="s">
        <v>46</v>
      </c>
      <c r="E685" s="4">
        <v>3.48148148148148</v>
      </c>
      <c r="F685" s="4">
        <v>1.83670510294056</v>
      </c>
      <c r="G685" s="4">
        <v>108.0</v>
      </c>
      <c r="H685" s="4">
        <v>4.22115384615385</v>
      </c>
      <c r="I685" s="4">
        <v>2.1986612465481</v>
      </c>
      <c r="J685" s="4">
        <v>104.0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 t="s">
        <v>1437</v>
      </c>
      <c r="B686" s="4" t="s">
        <v>1438</v>
      </c>
      <c r="C686" s="4" t="s">
        <v>25</v>
      </c>
      <c r="D686" s="4" t="s">
        <v>12</v>
      </c>
      <c r="E686" s="4">
        <v>5.36633663366337</v>
      </c>
      <c r="F686" s="4">
        <v>1.1808706303167</v>
      </c>
      <c r="G686" s="4">
        <v>101.0</v>
      </c>
      <c r="H686" s="4">
        <v>3.60194174757282</v>
      </c>
      <c r="I686" s="4">
        <v>1.64101717514547</v>
      </c>
      <c r="J686" s="4">
        <v>103.0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 t="s">
        <v>1439</v>
      </c>
      <c r="B687" s="4" t="s">
        <v>1440</v>
      </c>
      <c r="C687" s="4" t="s">
        <v>39</v>
      </c>
      <c r="D687" s="4" t="s">
        <v>46</v>
      </c>
      <c r="E687" s="4">
        <v>5.37254901960784</v>
      </c>
      <c r="F687" s="4">
        <v>1.21802931753114</v>
      </c>
      <c r="G687" s="4">
        <v>102.0</v>
      </c>
      <c r="H687" s="4">
        <v>5.11881188118812</v>
      </c>
      <c r="I687" s="4">
        <v>1.42328583715901</v>
      </c>
      <c r="J687" s="4">
        <v>101.0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 t="s">
        <v>1441</v>
      </c>
      <c r="B688" s="4" t="s">
        <v>1442</v>
      </c>
      <c r="C688" s="4" t="s">
        <v>11</v>
      </c>
      <c r="D688" s="4" t="s">
        <v>12</v>
      </c>
      <c r="E688" s="4">
        <v>3.47058823529412</v>
      </c>
      <c r="F688" s="4">
        <v>1.37665027773467</v>
      </c>
      <c r="G688" s="4">
        <v>102.0</v>
      </c>
      <c r="H688" s="4">
        <v>4.67326732673267</v>
      </c>
      <c r="I688" s="4">
        <v>1.48397379283523</v>
      </c>
      <c r="J688" s="4">
        <v>101.0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 t="s">
        <v>1443</v>
      </c>
      <c r="B689" s="4" t="s">
        <v>1444</v>
      </c>
      <c r="C689" s="4" t="s">
        <v>11</v>
      </c>
      <c r="D689" s="4" t="s">
        <v>12</v>
      </c>
      <c r="E689" s="4">
        <v>3.47058823529412</v>
      </c>
      <c r="F689" s="4">
        <v>0.919598301810037</v>
      </c>
      <c r="G689" s="4">
        <v>102.0</v>
      </c>
      <c r="H689" s="4">
        <v>2.89108910891089</v>
      </c>
      <c r="I689" s="4">
        <v>1.39929260770584</v>
      </c>
      <c r="J689" s="4">
        <v>101.0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 t="s">
        <v>1445</v>
      </c>
      <c r="B690" s="4" t="s">
        <v>1446</v>
      </c>
      <c r="C690" s="4" t="s">
        <v>15</v>
      </c>
      <c r="D690" s="4" t="s">
        <v>12</v>
      </c>
      <c r="E690" s="4">
        <v>5.38888888888889</v>
      </c>
      <c r="F690" s="4">
        <v>1.03971000030547</v>
      </c>
      <c r="G690" s="4">
        <v>108.0</v>
      </c>
      <c r="H690" s="4">
        <v>3.11538461538462</v>
      </c>
      <c r="I690" s="4">
        <v>1.62090525053666</v>
      </c>
      <c r="J690" s="4">
        <v>104.0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 t="s">
        <v>1447</v>
      </c>
      <c r="B691" s="4" t="s">
        <v>1448</v>
      </c>
      <c r="C691" s="4" t="s">
        <v>25</v>
      </c>
      <c r="D691" s="4" t="s">
        <v>12</v>
      </c>
      <c r="E691" s="4">
        <v>5.3921568627451</v>
      </c>
      <c r="F691" s="4">
        <v>1.44986761256411</v>
      </c>
      <c r="G691" s="4">
        <v>102.0</v>
      </c>
      <c r="H691" s="4">
        <v>4.81188118811881</v>
      </c>
      <c r="I691" s="4">
        <v>1.68352529703078</v>
      </c>
      <c r="J691" s="4">
        <v>101.0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 t="s">
        <v>1449</v>
      </c>
      <c r="B692" s="4" t="s">
        <v>1450</v>
      </c>
      <c r="C692" s="4" t="s">
        <v>11</v>
      </c>
      <c r="D692" s="4" t="s">
        <v>12</v>
      </c>
      <c r="E692" s="4">
        <v>3.46296296296296</v>
      </c>
      <c r="F692" s="4">
        <v>1.54934973351606</v>
      </c>
      <c r="G692" s="4">
        <v>108.0</v>
      </c>
      <c r="H692" s="4">
        <v>4.30769230769231</v>
      </c>
      <c r="I692" s="4">
        <v>1.86993028828538</v>
      </c>
      <c r="J692" s="4">
        <v>104.0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 t="s">
        <v>1451</v>
      </c>
      <c r="B693" s="4" t="s">
        <v>1452</v>
      </c>
      <c r="C693" s="4" t="s">
        <v>25</v>
      </c>
      <c r="D693" s="4" t="s">
        <v>12</v>
      </c>
      <c r="E693" s="4">
        <v>5.3921568627451</v>
      </c>
      <c r="F693" s="4">
        <v>1.15318639700595</v>
      </c>
      <c r="G693" s="4">
        <v>102.0</v>
      </c>
      <c r="H693" s="4">
        <v>4.3960396039604</v>
      </c>
      <c r="I693" s="4">
        <v>1.5236745579079</v>
      </c>
      <c r="J693" s="4">
        <v>101.0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 t="s">
        <v>1453</v>
      </c>
      <c r="B694" s="4" t="s">
        <v>1454</v>
      </c>
      <c r="C694" s="4" t="s">
        <v>11</v>
      </c>
      <c r="D694" s="4" t="s">
        <v>12</v>
      </c>
      <c r="E694" s="4">
        <v>3.45098039215686</v>
      </c>
      <c r="F694" s="4">
        <v>1.53266383635006</v>
      </c>
      <c r="G694" s="4">
        <v>102.0</v>
      </c>
      <c r="H694" s="4">
        <v>3.2970297029703</v>
      </c>
      <c r="I694" s="4">
        <v>1.70026206483263</v>
      </c>
      <c r="J694" s="4">
        <v>101.0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 t="s">
        <v>1455</v>
      </c>
      <c r="B695" s="4" t="s">
        <v>1456</v>
      </c>
      <c r="C695" s="4" t="s">
        <v>15</v>
      </c>
      <c r="D695" s="4" t="s">
        <v>12</v>
      </c>
      <c r="E695" s="4">
        <v>5.41176470588235</v>
      </c>
      <c r="F695" s="4">
        <v>1.04694691607484</v>
      </c>
      <c r="G695" s="4">
        <v>102.0</v>
      </c>
      <c r="H695" s="4">
        <v>3.76237623762376</v>
      </c>
      <c r="I695" s="4">
        <v>1.87162237030596</v>
      </c>
      <c r="J695" s="4">
        <v>101.0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 t="s">
        <v>1457</v>
      </c>
      <c r="B696" s="4" t="s">
        <v>1458</v>
      </c>
      <c r="C696" s="4" t="s">
        <v>25</v>
      </c>
      <c r="D696" s="4" t="s">
        <v>12</v>
      </c>
      <c r="E696" s="4">
        <v>5.41176470588235</v>
      </c>
      <c r="F696" s="4">
        <v>1.08411519953864</v>
      </c>
      <c r="G696" s="4">
        <v>102.0</v>
      </c>
      <c r="H696" s="4">
        <v>3.27722772277228</v>
      </c>
      <c r="I696" s="4">
        <v>1.66203978220251</v>
      </c>
      <c r="J696" s="4">
        <v>101.0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 t="s">
        <v>1459</v>
      </c>
      <c r="B697" s="4" t="s">
        <v>1460</v>
      </c>
      <c r="C697" s="4" t="s">
        <v>11</v>
      </c>
      <c r="D697" s="4" t="s">
        <v>46</v>
      </c>
      <c r="E697" s="4">
        <v>3.42156862745098</v>
      </c>
      <c r="F697" s="4">
        <v>0.883694702330398</v>
      </c>
      <c r="G697" s="4">
        <v>102.0</v>
      </c>
      <c r="H697" s="4">
        <v>3.27722772277228</v>
      </c>
      <c r="I697" s="4">
        <v>1.48404051077582</v>
      </c>
      <c r="J697" s="4">
        <v>101.0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 t="s">
        <v>1461</v>
      </c>
      <c r="B698" s="4" t="s">
        <v>1462</v>
      </c>
      <c r="C698" s="4" t="s">
        <v>11</v>
      </c>
      <c r="D698" s="4" t="s">
        <v>1463</v>
      </c>
      <c r="E698" s="4">
        <v>3.39814814814815</v>
      </c>
      <c r="F698" s="4">
        <v>1.00410200560505</v>
      </c>
      <c r="G698" s="4">
        <v>108.0</v>
      </c>
      <c r="H698" s="4">
        <v>3.5</v>
      </c>
      <c r="I698" s="4">
        <v>1.80613840065763</v>
      </c>
      <c r="J698" s="4">
        <v>104.0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 t="s">
        <v>1464</v>
      </c>
      <c r="B699" s="4" t="s">
        <v>1465</v>
      </c>
      <c r="C699" s="4" t="s">
        <v>25</v>
      </c>
      <c r="D699" s="4" t="s">
        <v>12</v>
      </c>
      <c r="E699" s="4">
        <v>5.42156862745098</v>
      </c>
      <c r="F699" s="4">
        <v>1.16411930345192</v>
      </c>
      <c r="G699" s="4">
        <v>102.0</v>
      </c>
      <c r="H699" s="4">
        <v>3.84158415841584</v>
      </c>
      <c r="I699" s="4">
        <v>1.57310313245716</v>
      </c>
      <c r="J699" s="4">
        <v>101.0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 t="s">
        <v>1466</v>
      </c>
      <c r="B700" s="4" t="s">
        <v>1467</v>
      </c>
      <c r="C700" s="4" t="s">
        <v>11</v>
      </c>
      <c r="D700" s="4" t="s">
        <v>12</v>
      </c>
      <c r="E700" s="4">
        <v>3.38235294117647</v>
      </c>
      <c r="F700" s="4">
        <v>0.954863710632231</v>
      </c>
      <c r="G700" s="4">
        <v>102.0</v>
      </c>
      <c r="H700" s="4">
        <v>3.25742574257426</v>
      </c>
      <c r="I700" s="4">
        <v>1.48090151830927</v>
      </c>
      <c r="J700" s="4">
        <v>101.0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 t="s">
        <v>1468</v>
      </c>
      <c r="B701" s="4" t="s">
        <v>1469</v>
      </c>
      <c r="C701" s="4" t="s">
        <v>39</v>
      </c>
      <c r="D701" s="4" t="s">
        <v>12</v>
      </c>
      <c r="E701" s="4">
        <v>5.43137254901961</v>
      </c>
      <c r="F701" s="4">
        <v>1.2388896651467</v>
      </c>
      <c r="G701" s="4">
        <v>102.0</v>
      </c>
      <c r="H701" s="4">
        <v>4.45544554455446</v>
      </c>
      <c r="I701" s="4">
        <v>1.90538580069889</v>
      </c>
      <c r="J701" s="4">
        <v>101.0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 t="s">
        <v>1470</v>
      </c>
      <c r="B702" s="4" t="s">
        <v>1471</v>
      </c>
      <c r="C702" s="4" t="s">
        <v>25</v>
      </c>
      <c r="D702" s="4" t="s">
        <v>12</v>
      </c>
      <c r="E702" s="4">
        <v>5.43137254901961</v>
      </c>
      <c r="F702" s="4">
        <v>1.33875813535588</v>
      </c>
      <c r="G702" s="4">
        <v>102.0</v>
      </c>
      <c r="H702" s="4">
        <v>4.38613861386139</v>
      </c>
      <c r="I702" s="4">
        <v>1.67910867444429</v>
      </c>
      <c r="J702" s="4">
        <v>101.0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 t="s">
        <v>1472</v>
      </c>
      <c r="B703" s="4" t="s">
        <v>1473</v>
      </c>
      <c r="C703" s="4" t="s">
        <v>11</v>
      </c>
      <c r="D703" s="4" t="s">
        <v>46</v>
      </c>
      <c r="E703" s="4">
        <v>3.34313725490196</v>
      </c>
      <c r="F703" s="4">
        <v>1.39656649715456</v>
      </c>
      <c r="G703" s="4">
        <v>102.0</v>
      </c>
      <c r="H703" s="4">
        <v>4.42574257425743</v>
      </c>
      <c r="I703" s="4">
        <v>1.64527526361679</v>
      </c>
      <c r="J703" s="4">
        <v>101.0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 t="s">
        <v>1474</v>
      </c>
      <c r="B704" s="4" t="s">
        <v>1475</v>
      </c>
      <c r="C704" s="4" t="s">
        <v>39</v>
      </c>
      <c r="D704" s="4" t="s">
        <v>12</v>
      </c>
      <c r="E704" s="4">
        <v>5.43137254901961</v>
      </c>
      <c r="F704" s="4">
        <v>1.14761745378374</v>
      </c>
      <c r="G704" s="4">
        <v>102.0</v>
      </c>
      <c r="H704" s="4">
        <v>4.00990099009901</v>
      </c>
      <c r="I704" s="4">
        <v>1.56521595637759</v>
      </c>
      <c r="J704" s="4">
        <v>101.0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 t="s">
        <v>1476</v>
      </c>
      <c r="B705" s="4" t="s">
        <v>1477</v>
      </c>
      <c r="C705" s="4" t="s">
        <v>11</v>
      </c>
      <c r="D705" s="4" t="s">
        <v>12</v>
      </c>
      <c r="E705" s="4">
        <v>3.34313725490196</v>
      </c>
      <c r="F705" s="4">
        <v>1.15608675921661</v>
      </c>
      <c r="G705" s="4">
        <v>102.0</v>
      </c>
      <c r="H705" s="4">
        <v>4.41584158415842</v>
      </c>
      <c r="I705" s="4">
        <v>1.76786496505063</v>
      </c>
      <c r="J705" s="4">
        <v>101.0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 t="s">
        <v>1478</v>
      </c>
      <c r="B706" s="4" t="s">
        <v>1479</v>
      </c>
      <c r="C706" s="4" t="s">
        <v>11</v>
      </c>
      <c r="D706" s="4" t="s">
        <v>12</v>
      </c>
      <c r="E706" s="4">
        <v>3.31683168316832</v>
      </c>
      <c r="F706" s="4">
        <v>1.00926401966291</v>
      </c>
      <c r="G706" s="4">
        <v>101.0</v>
      </c>
      <c r="H706" s="4">
        <v>3.19417475728155</v>
      </c>
      <c r="I706" s="4">
        <v>1.69808572976486</v>
      </c>
      <c r="J706" s="4">
        <v>103.0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 t="s">
        <v>1480</v>
      </c>
      <c r="B707" s="4" t="s">
        <v>1481</v>
      </c>
      <c r="C707" s="4" t="s">
        <v>11</v>
      </c>
      <c r="D707" s="4" t="s">
        <v>12</v>
      </c>
      <c r="E707" s="4">
        <v>3.2843137254902</v>
      </c>
      <c r="F707" s="4">
        <v>1.30783965908255</v>
      </c>
      <c r="G707" s="4">
        <v>102.0</v>
      </c>
      <c r="H707" s="4">
        <v>3.77227722772277</v>
      </c>
      <c r="I707" s="4">
        <v>1.70224080622462</v>
      </c>
      <c r="J707" s="4">
        <v>101.0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 t="s">
        <v>1482</v>
      </c>
      <c r="B708" s="4" t="s">
        <v>1483</v>
      </c>
      <c r="C708" s="4" t="s">
        <v>39</v>
      </c>
      <c r="D708" s="4" t="s">
        <v>46</v>
      </c>
      <c r="E708" s="4">
        <v>5.44554455445545</v>
      </c>
      <c r="F708" s="4">
        <v>1.20395388221271</v>
      </c>
      <c r="G708" s="4">
        <v>101.0</v>
      </c>
      <c r="H708" s="4">
        <v>4.70873786407767</v>
      </c>
      <c r="I708" s="4">
        <v>1.58195131404947</v>
      </c>
      <c r="J708" s="4">
        <v>103.0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 t="s">
        <v>1484</v>
      </c>
      <c r="B709" s="4" t="s">
        <v>1485</v>
      </c>
      <c r="C709" s="4" t="s">
        <v>11</v>
      </c>
      <c r="D709" s="4" t="s">
        <v>46</v>
      </c>
      <c r="E709" s="4">
        <v>3.25490196078431</v>
      </c>
      <c r="F709" s="4">
        <v>0.828768315626398</v>
      </c>
      <c r="G709" s="4">
        <v>102.0</v>
      </c>
      <c r="H709" s="4">
        <v>3.28712871287129</v>
      </c>
      <c r="I709" s="4">
        <v>1.45833215464356</v>
      </c>
      <c r="J709" s="4">
        <v>101.0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 t="s">
        <v>1486</v>
      </c>
      <c r="B710" s="4" t="s">
        <v>1487</v>
      </c>
      <c r="C710" s="4" t="s">
        <v>39</v>
      </c>
      <c r="D710" s="4" t="s">
        <v>12</v>
      </c>
      <c r="E710" s="4">
        <v>5.45098039215686</v>
      </c>
      <c r="F710" s="4">
        <v>1.23982952341702</v>
      </c>
      <c r="G710" s="4">
        <v>102.0</v>
      </c>
      <c r="H710" s="4">
        <v>4.00990099009901</v>
      </c>
      <c r="I710" s="4">
        <v>1.88941816178923</v>
      </c>
      <c r="J710" s="4">
        <v>101.0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 t="s">
        <v>1488</v>
      </c>
      <c r="B711" s="4" t="s">
        <v>1489</v>
      </c>
      <c r="C711" s="4" t="s">
        <v>39</v>
      </c>
      <c r="D711" s="4" t="s">
        <v>46</v>
      </c>
      <c r="E711" s="4">
        <v>5.45098039215686</v>
      </c>
      <c r="F711" s="4">
        <v>1.04953974807057</v>
      </c>
      <c r="G711" s="4">
        <v>102.0</v>
      </c>
      <c r="H711" s="4">
        <v>3.62376237623762</v>
      </c>
      <c r="I711" s="4">
        <v>1.63616310402426</v>
      </c>
      <c r="J711" s="4">
        <v>101.0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 t="s">
        <v>1490</v>
      </c>
      <c r="B712" s="4" t="s">
        <v>1491</v>
      </c>
      <c r="C712" s="4" t="s">
        <v>25</v>
      </c>
      <c r="D712" s="4" t="s">
        <v>12</v>
      </c>
      <c r="E712" s="4">
        <v>5.45098039215686</v>
      </c>
      <c r="F712" s="4">
        <v>1.15721970479088</v>
      </c>
      <c r="G712" s="4">
        <v>102.0</v>
      </c>
      <c r="H712" s="4">
        <v>3.42574257425743</v>
      </c>
      <c r="I712" s="4">
        <v>1.47882747238118</v>
      </c>
      <c r="J712" s="4">
        <v>101.0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 t="s">
        <v>1492</v>
      </c>
      <c r="B713" s="4" t="s">
        <v>1493</v>
      </c>
      <c r="C713" s="4" t="s">
        <v>15</v>
      </c>
      <c r="D713" s="4" t="s">
        <v>12</v>
      </c>
      <c r="E713" s="4">
        <v>5.4537037037037</v>
      </c>
      <c r="F713" s="4">
        <v>1.12228288085449</v>
      </c>
      <c r="G713" s="4">
        <v>108.0</v>
      </c>
      <c r="H713" s="4">
        <v>3.13461538461538</v>
      </c>
      <c r="I713" s="4">
        <v>1.78482107181695</v>
      </c>
      <c r="J713" s="4">
        <v>104.0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 t="s">
        <v>1494</v>
      </c>
      <c r="B714" s="4" t="s">
        <v>1495</v>
      </c>
      <c r="C714" s="4" t="s">
        <v>25</v>
      </c>
      <c r="D714" s="4" t="s">
        <v>12</v>
      </c>
      <c r="E714" s="4">
        <v>5.45544554455446</v>
      </c>
      <c r="F714" s="4">
        <v>1.10927681374171</v>
      </c>
      <c r="G714" s="4">
        <v>101.0</v>
      </c>
      <c r="H714" s="4">
        <v>4.27184466019417</v>
      </c>
      <c r="I714" s="4">
        <v>1.591608969844</v>
      </c>
      <c r="J714" s="4">
        <v>103.0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 t="s">
        <v>1496</v>
      </c>
      <c r="B715" s="4" t="s">
        <v>1497</v>
      </c>
      <c r="C715" s="4" t="s">
        <v>25</v>
      </c>
      <c r="D715" s="4" t="s">
        <v>1498</v>
      </c>
      <c r="E715" s="4">
        <v>5.45544554455446</v>
      </c>
      <c r="F715" s="4">
        <v>1.16210801972319</v>
      </c>
      <c r="G715" s="4">
        <v>101.0</v>
      </c>
      <c r="H715" s="4">
        <v>3.71844660194175</v>
      </c>
      <c r="I715" s="4">
        <v>1.93227223616904</v>
      </c>
      <c r="J715" s="4">
        <v>103.0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 t="s">
        <v>1499</v>
      </c>
      <c r="B716" s="4" t="s">
        <v>1500</v>
      </c>
      <c r="C716" s="4" t="s">
        <v>15</v>
      </c>
      <c r="D716" s="4" t="s">
        <v>12</v>
      </c>
      <c r="E716" s="4">
        <v>5.46078431372549</v>
      </c>
      <c r="F716" s="4">
        <v>1.09609178472589</v>
      </c>
      <c r="G716" s="4">
        <v>102.0</v>
      </c>
      <c r="H716" s="4">
        <v>3.38613861386139</v>
      </c>
      <c r="I716" s="4">
        <v>1.55544396896644</v>
      </c>
      <c r="J716" s="4">
        <v>101.0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 t="s">
        <v>1501</v>
      </c>
      <c r="B717" s="4" t="s">
        <v>1502</v>
      </c>
      <c r="C717" s="4" t="s">
        <v>25</v>
      </c>
      <c r="D717" s="4" t="s">
        <v>12</v>
      </c>
      <c r="E717" s="4">
        <v>5.46534653465347</v>
      </c>
      <c r="F717" s="4">
        <v>0.965032190506033</v>
      </c>
      <c r="G717" s="4">
        <v>101.0</v>
      </c>
      <c r="H717" s="4">
        <v>4.32038834951456</v>
      </c>
      <c r="I717" s="4">
        <v>1.44990596201494</v>
      </c>
      <c r="J717" s="4">
        <v>103.0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 t="s">
        <v>1503</v>
      </c>
      <c r="B718" s="4" t="s">
        <v>1504</v>
      </c>
      <c r="C718" s="4" t="s">
        <v>15</v>
      </c>
      <c r="D718" s="4" t="s">
        <v>12</v>
      </c>
      <c r="E718" s="4">
        <v>5.47058823529412</v>
      </c>
      <c r="F718" s="4">
        <v>1.04080968436508</v>
      </c>
      <c r="G718" s="4">
        <v>102.0</v>
      </c>
      <c r="H718" s="4">
        <v>3.14851485148515</v>
      </c>
      <c r="I718" s="4">
        <v>1.7168933491272</v>
      </c>
      <c r="J718" s="4">
        <v>101.0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 t="s">
        <v>1505</v>
      </c>
      <c r="B719" s="4" t="s">
        <v>1506</v>
      </c>
      <c r="C719" s="4" t="s">
        <v>11</v>
      </c>
      <c r="D719" s="4" t="s">
        <v>12</v>
      </c>
      <c r="E719" s="4">
        <v>3.18627450980392</v>
      </c>
      <c r="F719" s="4">
        <v>0.972191483368331</v>
      </c>
      <c r="G719" s="4">
        <v>102.0</v>
      </c>
      <c r="H719" s="4">
        <v>2.74257425742574</v>
      </c>
      <c r="I719" s="4">
        <v>1.54047697383982</v>
      </c>
      <c r="J719" s="4">
        <v>101.0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 t="s">
        <v>1507</v>
      </c>
      <c r="B720" s="4" t="s">
        <v>1508</v>
      </c>
      <c r="C720" s="4" t="s">
        <v>11</v>
      </c>
      <c r="D720" s="4" t="s">
        <v>12</v>
      </c>
      <c r="E720" s="4">
        <v>3.17821782178218</v>
      </c>
      <c r="F720" s="4">
        <v>1.79106694237798</v>
      </c>
      <c r="G720" s="4">
        <v>101.0</v>
      </c>
      <c r="H720" s="4">
        <v>4.25242718446602</v>
      </c>
      <c r="I720" s="4">
        <v>1.9134121385114</v>
      </c>
      <c r="J720" s="4">
        <v>103.0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 t="s">
        <v>1509</v>
      </c>
      <c r="B721" s="4" t="s">
        <v>1510</v>
      </c>
      <c r="C721" s="4" t="s">
        <v>15</v>
      </c>
      <c r="D721" s="4" t="s">
        <v>12</v>
      </c>
      <c r="E721" s="4">
        <v>5.47524752475248</v>
      </c>
      <c r="F721" s="4">
        <v>1.1008547534161</v>
      </c>
      <c r="G721" s="4">
        <v>101.0</v>
      </c>
      <c r="H721" s="4">
        <v>3.79611650485437</v>
      </c>
      <c r="I721" s="4">
        <v>1.76212451598148</v>
      </c>
      <c r="J721" s="4">
        <v>103.0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 t="s">
        <v>1511</v>
      </c>
      <c r="B722" s="4" t="s">
        <v>1512</v>
      </c>
      <c r="C722" s="4" t="s">
        <v>25</v>
      </c>
      <c r="D722" s="4" t="s">
        <v>12</v>
      </c>
      <c r="E722" s="4">
        <v>5.47524752475248</v>
      </c>
      <c r="F722" s="4">
        <v>1.1008547534161</v>
      </c>
      <c r="G722" s="4">
        <v>101.0</v>
      </c>
      <c r="H722" s="4">
        <v>3.69902912621359</v>
      </c>
      <c r="I722" s="4">
        <v>1.54561334647136</v>
      </c>
      <c r="J722" s="4">
        <v>103.0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 t="s">
        <v>1513</v>
      </c>
      <c r="B723" s="4" t="s">
        <v>1514</v>
      </c>
      <c r="C723" s="4" t="s">
        <v>11</v>
      </c>
      <c r="D723" s="4" t="s">
        <v>46</v>
      </c>
      <c r="E723" s="4">
        <v>3.17647058823529</v>
      </c>
      <c r="F723" s="4">
        <v>1.80434988542338</v>
      </c>
      <c r="G723" s="4">
        <v>102.0</v>
      </c>
      <c r="H723" s="4">
        <v>4.15841584158416</v>
      </c>
      <c r="I723" s="4">
        <v>2.24380334818953</v>
      </c>
      <c r="J723" s="4">
        <v>101.0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 t="s">
        <v>1515</v>
      </c>
      <c r="B724" s="4" t="s">
        <v>1516</v>
      </c>
      <c r="C724" s="4" t="s">
        <v>15</v>
      </c>
      <c r="D724" s="4" t="s">
        <v>12</v>
      </c>
      <c r="E724" s="4">
        <v>5.49019607843137</v>
      </c>
      <c r="F724" s="4">
        <v>1.06933029878764</v>
      </c>
      <c r="G724" s="4">
        <v>102.0</v>
      </c>
      <c r="H724" s="4">
        <v>3.08910891089109</v>
      </c>
      <c r="I724" s="4">
        <v>1.67391164582238</v>
      </c>
      <c r="J724" s="4">
        <v>101.0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 t="s">
        <v>1517</v>
      </c>
      <c r="B725" s="4" t="s">
        <v>1518</v>
      </c>
      <c r="C725" s="4" t="s">
        <v>39</v>
      </c>
      <c r="D725" s="4" t="s">
        <v>12</v>
      </c>
      <c r="E725" s="4">
        <v>5.49074074074074</v>
      </c>
      <c r="F725" s="4">
        <v>1.03666765166418</v>
      </c>
      <c r="G725" s="4">
        <v>108.0</v>
      </c>
      <c r="H725" s="4">
        <v>3.20192307692308</v>
      </c>
      <c r="I725" s="4">
        <v>1.85587394790978</v>
      </c>
      <c r="J725" s="4">
        <v>104.0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 t="s">
        <v>1519</v>
      </c>
      <c r="B726" s="4" t="s">
        <v>1520</v>
      </c>
      <c r="C726" s="4" t="s">
        <v>25</v>
      </c>
      <c r="D726" s="4" t="s">
        <v>12</v>
      </c>
      <c r="E726" s="4">
        <v>5.4950495049505</v>
      </c>
      <c r="F726" s="4">
        <v>1.17152688723936</v>
      </c>
      <c r="G726" s="4">
        <v>101.0</v>
      </c>
      <c r="H726" s="4">
        <v>3.98058252427184</v>
      </c>
      <c r="I726" s="4">
        <v>1.74884041427272</v>
      </c>
      <c r="J726" s="4">
        <v>103.0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 t="s">
        <v>1521</v>
      </c>
      <c r="B727" s="4" t="s">
        <v>1522</v>
      </c>
      <c r="C727" s="4" t="s">
        <v>11</v>
      </c>
      <c r="D727" s="4" t="s">
        <v>1523</v>
      </c>
      <c r="E727" s="4">
        <v>3.16831683168317</v>
      </c>
      <c r="F727" s="4">
        <v>1.65571318126476</v>
      </c>
      <c r="G727" s="4">
        <v>101.0</v>
      </c>
      <c r="H727" s="4">
        <v>3.75728155339806</v>
      </c>
      <c r="I727" s="4">
        <v>2.13038714799509</v>
      </c>
      <c r="J727" s="4">
        <v>103.0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 t="s">
        <v>1524</v>
      </c>
      <c r="B728" s="4" t="s">
        <v>1525</v>
      </c>
      <c r="C728" s="4" t="s">
        <v>15</v>
      </c>
      <c r="D728" s="4" t="s">
        <v>12</v>
      </c>
      <c r="E728" s="4">
        <v>5.50980392156863</v>
      </c>
      <c r="F728" s="4">
        <v>1.13229022308391</v>
      </c>
      <c r="G728" s="4">
        <v>102.0</v>
      </c>
      <c r="H728" s="4">
        <v>2.98019801980198</v>
      </c>
      <c r="I728" s="4">
        <v>1.72615293656038</v>
      </c>
      <c r="J728" s="4">
        <v>101.0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 t="s">
        <v>1526</v>
      </c>
      <c r="B729" s="4" t="s">
        <v>1527</v>
      </c>
      <c r="C729" s="4" t="s">
        <v>39</v>
      </c>
      <c r="D729" s="4" t="s">
        <v>12</v>
      </c>
      <c r="E729" s="4">
        <v>5.51485148514851</v>
      </c>
      <c r="F729" s="4">
        <v>1.08271751981889</v>
      </c>
      <c r="G729" s="4">
        <v>101.0</v>
      </c>
      <c r="H729" s="4">
        <v>3.80582524271845</v>
      </c>
      <c r="I729" s="4">
        <v>1.65717839826323</v>
      </c>
      <c r="J729" s="4">
        <v>103.0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 t="s">
        <v>1528</v>
      </c>
      <c r="B730" s="4" t="s">
        <v>1529</v>
      </c>
      <c r="C730" s="4" t="s">
        <v>39</v>
      </c>
      <c r="D730" s="4" t="s">
        <v>12</v>
      </c>
      <c r="E730" s="4">
        <v>5.51960784313725</v>
      </c>
      <c r="F730" s="4">
        <v>1.15810011842427</v>
      </c>
      <c r="G730" s="4">
        <v>102.0</v>
      </c>
      <c r="H730" s="4">
        <v>4.57425742574257</v>
      </c>
      <c r="I730" s="4">
        <v>1.86733250736694</v>
      </c>
      <c r="J730" s="4">
        <v>101.0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 t="s">
        <v>1530</v>
      </c>
      <c r="B731" s="4" t="s">
        <v>1531</v>
      </c>
      <c r="C731" s="4" t="s">
        <v>15</v>
      </c>
      <c r="D731" s="4" t="s">
        <v>12</v>
      </c>
      <c r="E731" s="4">
        <v>5.52475247524752</v>
      </c>
      <c r="F731" s="4">
        <v>1.16270425651531</v>
      </c>
      <c r="G731" s="4">
        <v>101.0</v>
      </c>
      <c r="H731" s="4">
        <v>3.48543689320388</v>
      </c>
      <c r="I731" s="4">
        <v>1.68537002203509</v>
      </c>
      <c r="J731" s="4">
        <v>103.0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 t="s">
        <v>1532</v>
      </c>
      <c r="B732" s="4" t="s">
        <v>1533</v>
      </c>
      <c r="C732" s="4" t="s">
        <v>11</v>
      </c>
      <c r="D732" s="4" t="s">
        <v>12</v>
      </c>
      <c r="E732" s="4">
        <v>3.13861386138614</v>
      </c>
      <c r="F732" s="4">
        <v>1.08655145271908</v>
      </c>
      <c r="G732" s="4">
        <v>101.0</v>
      </c>
      <c r="H732" s="4">
        <v>3.79611650485437</v>
      </c>
      <c r="I732" s="4">
        <v>1.70558036411376</v>
      </c>
      <c r="J732" s="4">
        <v>103.0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 t="s">
        <v>1534</v>
      </c>
      <c r="B733" s="4" t="s">
        <v>1535</v>
      </c>
      <c r="C733" s="4" t="s">
        <v>25</v>
      </c>
      <c r="D733" s="4" t="s">
        <v>12</v>
      </c>
      <c r="E733" s="4">
        <v>5.52941176470588</v>
      </c>
      <c r="F733" s="4">
        <v>0.908767878225174</v>
      </c>
      <c r="G733" s="4">
        <v>102.0</v>
      </c>
      <c r="H733" s="4">
        <v>3.72277227722772</v>
      </c>
      <c r="I733" s="4">
        <v>1.64389057957753</v>
      </c>
      <c r="J733" s="4">
        <v>101.0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 t="s">
        <v>1536</v>
      </c>
      <c r="B734" s="4" t="s">
        <v>1537</v>
      </c>
      <c r="C734" s="4" t="s">
        <v>15</v>
      </c>
      <c r="D734" s="4" t="s">
        <v>12</v>
      </c>
      <c r="E734" s="4">
        <v>5.53465346534653</v>
      </c>
      <c r="F734" s="4">
        <v>0.900714787661928</v>
      </c>
      <c r="G734" s="4">
        <v>101.0</v>
      </c>
      <c r="H734" s="4">
        <v>3.86407766990291</v>
      </c>
      <c r="I734" s="4">
        <v>1.67477562845682</v>
      </c>
      <c r="J734" s="4">
        <v>103.0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 t="s">
        <v>1538</v>
      </c>
      <c r="B735" s="4" t="s">
        <v>1539</v>
      </c>
      <c r="C735" s="4" t="s">
        <v>11</v>
      </c>
      <c r="D735" s="4" t="s">
        <v>12</v>
      </c>
      <c r="E735" s="4">
        <v>3.13861386138614</v>
      </c>
      <c r="F735" s="4">
        <v>0.787777925183196</v>
      </c>
      <c r="G735" s="4">
        <v>101.0</v>
      </c>
      <c r="H735" s="4">
        <v>3.42718446601942</v>
      </c>
      <c r="I735" s="4">
        <v>1.85557951281635</v>
      </c>
      <c r="J735" s="4">
        <v>103.0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 t="s">
        <v>1540</v>
      </c>
      <c r="B736" s="4" t="s">
        <v>1541</v>
      </c>
      <c r="C736" s="4" t="s">
        <v>11</v>
      </c>
      <c r="D736" s="4" t="s">
        <v>46</v>
      </c>
      <c r="E736" s="4">
        <v>3.12745098039216</v>
      </c>
      <c r="F736" s="4">
        <v>1.02127437986049</v>
      </c>
      <c r="G736" s="4">
        <v>102.0</v>
      </c>
      <c r="H736" s="4">
        <v>3.01980198019802</v>
      </c>
      <c r="I736" s="4">
        <v>1.4420832016205</v>
      </c>
      <c r="J736" s="4">
        <v>101.0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 t="s">
        <v>1542</v>
      </c>
      <c r="B737" s="4" t="s">
        <v>1543</v>
      </c>
      <c r="C737" s="4" t="s">
        <v>15</v>
      </c>
      <c r="D737" s="4" t="s">
        <v>12</v>
      </c>
      <c r="E737" s="4">
        <v>5.54901960784314</v>
      </c>
      <c r="F737" s="4">
        <v>1.09569319782964</v>
      </c>
      <c r="G737" s="4">
        <v>102.0</v>
      </c>
      <c r="H737" s="4">
        <v>3.8019801980198</v>
      </c>
      <c r="I737" s="4">
        <v>1.70891662745845</v>
      </c>
      <c r="J737" s="4">
        <v>101.0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 t="s">
        <v>1544</v>
      </c>
      <c r="B738" s="4" t="s">
        <v>1545</v>
      </c>
      <c r="C738" s="4" t="s">
        <v>25</v>
      </c>
      <c r="D738" s="4" t="s">
        <v>12</v>
      </c>
      <c r="E738" s="4">
        <v>5.54901960784314</v>
      </c>
      <c r="F738" s="4">
        <v>1.06824044258588</v>
      </c>
      <c r="G738" s="4">
        <v>102.0</v>
      </c>
      <c r="H738" s="4">
        <v>3.57425742574257</v>
      </c>
      <c r="I738" s="4">
        <v>1.73405037212571</v>
      </c>
      <c r="J738" s="4">
        <v>101.0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 t="s">
        <v>1546</v>
      </c>
      <c r="B739" s="4" t="s">
        <v>1547</v>
      </c>
      <c r="C739" s="4" t="s">
        <v>39</v>
      </c>
      <c r="D739" s="4" t="s">
        <v>12</v>
      </c>
      <c r="E739" s="4">
        <v>5.56435643564356</v>
      </c>
      <c r="F739" s="4">
        <v>1.02387344514992</v>
      </c>
      <c r="G739" s="4">
        <v>101.0</v>
      </c>
      <c r="H739" s="4">
        <v>3.64077669902913</v>
      </c>
      <c r="I739" s="4">
        <v>1.63211860951653</v>
      </c>
      <c r="J739" s="4">
        <v>103.0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 t="s">
        <v>1548</v>
      </c>
      <c r="B740" s="4" t="s">
        <v>1549</v>
      </c>
      <c r="C740" s="4" t="s">
        <v>11</v>
      </c>
      <c r="D740" s="4" t="s">
        <v>12</v>
      </c>
      <c r="E740" s="4">
        <v>3.11764705882353</v>
      </c>
      <c r="F740" s="4">
        <v>0.947055025187997</v>
      </c>
      <c r="G740" s="4">
        <v>102.0</v>
      </c>
      <c r="H740" s="4">
        <v>3.35643564356436</v>
      </c>
      <c r="I740" s="4">
        <v>1.5465067631009</v>
      </c>
      <c r="J740" s="4">
        <v>101.0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 t="s">
        <v>1550</v>
      </c>
      <c r="B741" s="4" t="s">
        <v>1551</v>
      </c>
      <c r="C741" s="4" t="s">
        <v>39</v>
      </c>
      <c r="D741" s="4" t="s">
        <v>12</v>
      </c>
      <c r="E741" s="4">
        <v>5.56862745098039</v>
      </c>
      <c r="F741" s="4">
        <v>1.04842931953035</v>
      </c>
      <c r="G741" s="4">
        <v>102.0</v>
      </c>
      <c r="H741" s="4">
        <v>3.42574257425743</v>
      </c>
      <c r="I741" s="4">
        <v>1.51885835187792</v>
      </c>
      <c r="J741" s="4">
        <v>101.0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 t="s">
        <v>1552</v>
      </c>
      <c r="B742" s="4" t="s">
        <v>1553</v>
      </c>
      <c r="C742" s="4" t="s">
        <v>39</v>
      </c>
      <c r="D742" s="4" t="s">
        <v>12</v>
      </c>
      <c r="E742" s="4">
        <v>5.57425742574257</v>
      </c>
      <c r="F742" s="4">
        <v>1.08946348863526</v>
      </c>
      <c r="G742" s="4">
        <v>101.0</v>
      </c>
      <c r="H742" s="4">
        <v>3.86407766990291</v>
      </c>
      <c r="I742" s="4">
        <v>1.72096953801367</v>
      </c>
      <c r="J742" s="4">
        <v>103.0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 t="s">
        <v>1554</v>
      </c>
      <c r="B743" s="4" t="s">
        <v>1555</v>
      </c>
      <c r="C743" s="4" t="s">
        <v>11</v>
      </c>
      <c r="D743" s="4" t="s">
        <v>12</v>
      </c>
      <c r="E743" s="4">
        <v>3.09803921568627</v>
      </c>
      <c r="F743" s="4">
        <v>1.46584753250327</v>
      </c>
      <c r="G743" s="4">
        <v>102.0</v>
      </c>
      <c r="H743" s="4">
        <v>4.86138613861386</v>
      </c>
      <c r="I743" s="4">
        <v>1.75516211769909</v>
      </c>
      <c r="J743" s="4">
        <v>101.0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 t="s">
        <v>1556</v>
      </c>
      <c r="B744" s="4" t="s">
        <v>1557</v>
      </c>
      <c r="C744" s="4" t="s">
        <v>11</v>
      </c>
      <c r="D744" s="4" t="s">
        <v>12</v>
      </c>
      <c r="E744" s="4">
        <v>3.09259259259259</v>
      </c>
      <c r="F744" s="4">
        <v>1.53182462233425</v>
      </c>
      <c r="G744" s="4">
        <v>108.0</v>
      </c>
      <c r="H744" s="4">
        <v>3.125</v>
      </c>
      <c r="I744" s="4">
        <v>1.60513435907391</v>
      </c>
      <c r="J744" s="4">
        <v>104.0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 t="s">
        <v>1558</v>
      </c>
      <c r="B745" s="4" t="s">
        <v>1559</v>
      </c>
      <c r="C745" s="4" t="s">
        <v>11</v>
      </c>
      <c r="D745" s="4" t="s">
        <v>46</v>
      </c>
      <c r="E745" s="4">
        <v>3.08823529411765</v>
      </c>
      <c r="F745" s="4">
        <v>0.857153257279446</v>
      </c>
      <c r="G745" s="4">
        <v>102.0</v>
      </c>
      <c r="H745" s="4">
        <v>2.71287128712871</v>
      </c>
      <c r="I745" s="4">
        <v>1.47876051924148</v>
      </c>
      <c r="J745" s="4">
        <v>101.0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 t="s">
        <v>1560</v>
      </c>
      <c r="B746" s="4" t="s">
        <v>1561</v>
      </c>
      <c r="C746" s="4" t="s">
        <v>15</v>
      </c>
      <c r="D746" s="4" t="s">
        <v>12</v>
      </c>
      <c r="E746" s="4">
        <v>5.58823529411765</v>
      </c>
      <c r="F746" s="4">
        <v>1.0932098362477</v>
      </c>
      <c r="G746" s="4">
        <v>102.0</v>
      </c>
      <c r="H746" s="4">
        <v>3.85148514851485</v>
      </c>
      <c r="I746" s="4">
        <v>1.78541949476229</v>
      </c>
      <c r="J746" s="4">
        <v>101.0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 t="s">
        <v>1562</v>
      </c>
      <c r="B747" s="4" t="s">
        <v>1563</v>
      </c>
      <c r="C747" s="4" t="s">
        <v>39</v>
      </c>
      <c r="D747" s="4" t="s">
        <v>46</v>
      </c>
      <c r="E747" s="4">
        <v>5.58823529411765</v>
      </c>
      <c r="F747" s="4">
        <v>1.00840960144504</v>
      </c>
      <c r="G747" s="4">
        <v>102.0</v>
      </c>
      <c r="H747" s="4">
        <v>3.61386138613861</v>
      </c>
      <c r="I747" s="4">
        <v>1.69688123939009</v>
      </c>
      <c r="J747" s="4">
        <v>101.0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 t="s">
        <v>1564</v>
      </c>
      <c r="B748" s="4" t="s">
        <v>1565</v>
      </c>
      <c r="C748" s="4" t="s">
        <v>11</v>
      </c>
      <c r="D748" s="4" t="s">
        <v>46</v>
      </c>
      <c r="E748" s="4">
        <v>3.07843137254902</v>
      </c>
      <c r="F748" s="4">
        <v>1.04062314261533</v>
      </c>
      <c r="G748" s="4">
        <v>102.0</v>
      </c>
      <c r="H748" s="4">
        <v>3.53465346534653</v>
      </c>
      <c r="I748" s="4">
        <v>1.68264289993833</v>
      </c>
      <c r="J748" s="4">
        <v>101.0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 t="s">
        <v>1566</v>
      </c>
      <c r="B749" s="4" t="s">
        <v>1567</v>
      </c>
      <c r="C749" s="4" t="s">
        <v>25</v>
      </c>
      <c r="D749" s="4" t="s">
        <v>1568</v>
      </c>
      <c r="E749" s="4">
        <v>5.59259259259259</v>
      </c>
      <c r="F749" s="4">
        <v>1.18429786791357</v>
      </c>
      <c r="G749" s="4">
        <v>108.0</v>
      </c>
      <c r="H749" s="4">
        <v>3.55769230769231</v>
      </c>
      <c r="I749" s="4">
        <v>1.78900049697944</v>
      </c>
      <c r="J749" s="4">
        <v>104.0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 t="s">
        <v>1569</v>
      </c>
      <c r="B750" s="4" t="s">
        <v>1570</v>
      </c>
      <c r="C750" s="4" t="s">
        <v>39</v>
      </c>
      <c r="D750" s="4" t="s">
        <v>12</v>
      </c>
      <c r="E750" s="4">
        <v>5.59259259259259</v>
      </c>
      <c r="F750" s="4">
        <v>1.23830632778806</v>
      </c>
      <c r="G750" s="4">
        <v>108.0</v>
      </c>
      <c r="H750" s="4">
        <v>3.35576923076923</v>
      </c>
      <c r="I750" s="4">
        <v>1.56985107964034</v>
      </c>
      <c r="J750" s="4">
        <v>104.0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 t="s">
        <v>1571</v>
      </c>
      <c r="B751" s="4" t="s">
        <v>1572</v>
      </c>
      <c r="C751" s="4" t="s">
        <v>39</v>
      </c>
      <c r="D751" s="4" t="s">
        <v>12</v>
      </c>
      <c r="E751" s="4">
        <v>5.59803921568627</v>
      </c>
      <c r="F751" s="4">
        <v>1.17952670422151</v>
      </c>
      <c r="G751" s="4">
        <v>102.0</v>
      </c>
      <c r="H751" s="4">
        <v>4.08910891089109</v>
      </c>
      <c r="I751" s="4">
        <v>1.9651921529509</v>
      </c>
      <c r="J751" s="4">
        <v>101.0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 t="s">
        <v>1573</v>
      </c>
      <c r="B752" s="4" t="s">
        <v>1574</v>
      </c>
      <c r="C752" s="4" t="s">
        <v>39</v>
      </c>
      <c r="D752" s="4" t="s">
        <v>12</v>
      </c>
      <c r="E752" s="4">
        <v>5.59803921568627</v>
      </c>
      <c r="F752" s="4">
        <v>1.07408541727156</v>
      </c>
      <c r="G752" s="4">
        <v>102.0</v>
      </c>
      <c r="H752" s="4">
        <v>3.34653465346535</v>
      </c>
      <c r="I752" s="4">
        <v>1.85707104637575</v>
      </c>
      <c r="J752" s="4">
        <v>101.0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 t="s">
        <v>1575</v>
      </c>
      <c r="B753" s="4" t="s">
        <v>1576</v>
      </c>
      <c r="C753" s="4" t="s">
        <v>11</v>
      </c>
      <c r="D753" s="4" t="s">
        <v>46</v>
      </c>
      <c r="E753" s="4">
        <v>3.05555555555556</v>
      </c>
      <c r="F753" s="4">
        <v>1.28857911556553</v>
      </c>
      <c r="G753" s="4">
        <v>108.0</v>
      </c>
      <c r="H753" s="4">
        <v>3.34615384615385</v>
      </c>
      <c r="I753" s="4">
        <v>1.77779852282312</v>
      </c>
      <c r="J753" s="4">
        <v>104.0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 t="s">
        <v>1577</v>
      </c>
      <c r="B754" s="4" t="s">
        <v>1578</v>
      </c>
      <c r="C754" s="4" t="s">
        <v>11</v>
      </c>
      <c r="D754" s="4" t="s">
        <v>12</v>
      </c>
      <c r="E754" s="4">
        <v>3.04950495049505</v>
      </c>
      <c r="F754" s="4">
        <v>1.05239001918264</v>
      </c>
      <c r="G754" s="4">
        <v>101.0</v>
      </c>
      <c r="H754" s="4">
        <v>4.27184466019417</v>
      </c>
      <c r="I754" s="4">
        <v>1.82678424602232</v>
      </c>
      <c r="J754" s="4">
        <v>103.0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 t="s">
        <v>1579</v>
      </c>
      <c r="B755" s="4" t="s">
        <v>1580</v>
      </c>
      <c r="C755" s="4" t="s">
        <v>11</v>
      </c>
      <c r="D755" s="4" t="s">
        <v>12</v>
      </c>
      <c r="E755" s="4">
        <v>3.0462962962963</v>
      </c>
      <c r="F755" s="4">
        <v>1.29256868983048</v>
      </c>
      <c r="G755" s="4">
        <v>108.0</v>
      </c>
      <c r="H755" s="4">
        <v>4.11538461538461</v>
      </c>
      <c r="I755" s="4">
        <v>1.73657229788467</v>
      </c>
      <c r="J755" s="4">
        <v>104.0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 t="s">
        <v>1581</v>
      </c>
      <c r="B756" s="4" t="s">
        <v>1582</v>
      </c>
      <c r="C756" s="4" t="s">
        <v>11</v>
      </c>
      <c r="D756" s="4" t="s">
        <v>12</v>
      </c>
      <c r="E756" s="4">
        <v>3.03960396039604</v>
      </c>
      <c r="F756" s="4">
        <v>1.11284133711152</v>
      </c>
      <c r="G756" s="4">
        <v>101.0</v>
      </c>
      <c r="H756" s="4">
        <v>3.96116504854369</v>
      </c>
      <c r="I756" s="4">
        <v>1.88867797988635</v>
      </c>
      <c r="J756" s="4">
        <v>103.0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 t="s">
        <v>1583</v>
      </c>
      <c r="B757" s="4" t="s">
        <v>1584</v>
      </c>
      <c r="C757" s="4" t="s">
        <v>15</v>
      </c>
      <c r="D757" s="4" t="s">
        <v>12</v>
      </c>
      <c r="E757" s="4">
        <v>5.61111111111111</v>
      </c>
      <c r="F757" s="4">
        <v>0.965123916631864</v>
      </c>
      <c r="G757" s="4">
        <v>108.0</v>
      </c>
      <c r="H757" s="4">
        <v>3.42307692307692</v>
      </c>
      <c r="I757" s="4">
        <v>1.83118778202961</v>
      </c>
      <c r="J757" s="4">
        <v>104.0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 t="s">
        <v>1585</v>
      </c>
      <c r="B758" s="4" t="s">
        <v>1586</v>
      </c>
      <c r="C758" s="4" t="s">
        <v>39</v>
      </c>
      <c r="D758" s="4" t="s">
        <v>12</v>
      </c>
      <c r="E758" s="4">
        <v>5.61386138613861</v>
      </c>
      <c r="F758" s="4">
        <v>0.97949269552869</v>
      </c>
      <c r="G758" s="4">
        <v>101.0</v>
      </c>
      <c r="H758" s="4">
        <v>4.41747572815534</v>
      </c>
      <c r="I758" s="4">
        <v>1.76304255642842</v>
      </c>
      <c r="J758" s="4">
        <v>103.0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 t="s">
        <v>1587</v>
      </c>
      <c r="B759" s="4" t="s">
        <v>1588</v>
      </c>
      <c r="C759" s="4" t="s">
        <v>15</v>
      </c>
      <c r="D759" s="4" t="s">
        <v>12</v>
      </c>
      <c r="E759" s="4">
        <v>5.62745098039216</v>
      </c>
      <c r="F759" s="4">
        <v>1.11623100476072</v>
      </c>
      <c r="G759" s="4">
        <v>102.0</v>
      </c>
      <c r="H759" s="4">
        <v>3.86138613861386</v>
      </c>
      <c r="I759" s="4">
        <v>1.6126357491405</v>
      </c>
      <c r="J759" s="4">
        <v>101.0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 t="s">
        <v>1589</v>
      </c>
      <c r="B760" s="4" t="s">
        <v>1590</v>
      </c>
      <c r="C760" s="4" t="s">
        <v>11</v>
      </c>
      <c r="D760" s="4" t="s">
        <v>1591</v>
      </c>
      <c r="E760" s="4">
        <v>3.02970297029703</v>
      </c>
      <c r="F760" s="4">
        <v>1.0045441308828</v>
      </c>
      <c r="G760" s="4">
        <v>101.0</v>
      </c>
      <c r="H760" s="4">
        <v>3.69902912621359</v>
      </c>
      <c r="I760" s="4">
        <v>1.85681020737236</v>
      </c>
      <c r="J760" s="4">
        <v>103.0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 t="s">
        <v>1592</v>
      </c>
      <c r="B761" s="4" t="s">
        <v>1593</v>
      </c>
      <c r="C761" s="4" t="s">
        <v>15</v>
      </c>
      <c r="D761" s="4" t="s">
        <v>12</v>
      </c>
      <c r="E761" s="4">
        <v>5.63366336633663</v>
      </c>
      <c r="F761" s="4">
        <v>1.07445588347989</v>
      </c>
      <c r="G761" s="4">
        <v>101.0</v>
      </c>
      <c r="H761" s="4">
        <v>4.20388349514563</v>
      </c>
      <c r="I761" s="4">
        <v>1.82229774853967</v>
      </c>
      <c r="J761" s="4">
        <v>103.0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 t="s">
        <v>1594</v>
      </c>
      <c r="B762" s="4" t="s">
        <v>1595</v>
      </c>
      <c r="C762" s="4" t="s">
        <v>15</v>
      </c>
      <c r="D762" s="4" t="s">
        <v>12</v>
      </c>
      <c r="E762" s="4">
        <v>5.63366336633663</v>
      </c>
      <c r="F762" s="4">
        <v>1.12002475220173</v>
      </c>
      <c r="G762" s="4">
        <v>101.0</v>
      </c>
      <c r="H762" s="4">
        <v>3.48543689320388</v>
      </c>
      <c r="I762" s="4">
        <v>1.62011908101373</v>
      </c>
      <c r="J762" s="4">
        <v>103.0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 t="s">
        <v>1596</v>
      </c>
      <c r="B763" s="4" t="s">
        <v>1597</v>
      </c>
      <c r="C763" s="4" t="s">
        <v>11</v>
      </c>
      <c r="D763" s="4" t="s">
        <v>12</v>
      </c>
      <c r="E763" s="4">
        <v>2.97058823529412</v>
      </c>
      <c r="F763" s="4">
        <v>1.38203381736319</v>
      </c>
      <c r="G763" s="4">
        <v>102.0</v>
      </c>
      <c r="H763" s="4">
        <v>4.78217821782178</v>
      </c>
      <c r="I763" s="4">
        <v>1.68287825106892</v>
      </c>
      <c r="J763" s="4">
        <v>101.0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 t="s">
        <v>1598</v>
      </c>
      <c r="B764" s="4" t="s">
        <v>1599</v>
      </c>
      <c r="C764" s="4" t="s">
        <v>25</v>
      </c>
      <c r="D764" s="4" t="s">
        <v>12</v>
      </c>
      <c r="E764" s="4">
        <v>5.64705882352941</v>
      </c>
      <c r="F764" s="4">
        <v>0.940266012744986</v>
      </c>
      <c r="G764" s="4">
        <v>102.0</v>
      </c>
      <c r="H764" s="4">
        <v>3.88118811881188</v>
      </c>
      <c r="I764" s="4">
        <v>1.66305218627</v>
      </c>
      <c r="J764" s="4">
        <v>101.0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 t="s">
        <v>1600</v>
      </c>
      <c r="B765" s="4" t="s">
        <v>1601</v>
      </c>
      <c r="C765" s="4" t="s">
        <v>11</v>
      </c>
      <c r="D765" s="4" t="s">
        <v>12</v>
      </c>
      <c r="E765" s="4">
        <v>2.97058823529412</v>
      </c>
      <c r="F765" s="4">
        <v>1.30843328846192</v>
      </c>
      <c r="G765" s="4">
        <v>102.0</v>
      </c>
      <c r="H765" s="4">
        <v>4.24752475247525</v>
      </c>
      <c r="I765" s="4">
        <v>1.66976609496096</v>
      </c>
      <c r="J765" s="4">
        <v>101.0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 t="s">
        <v>1602</v>
      </c>
      <c r="B766" s="4" t="s">
        <v>1603</v>
      </c>
      <c r="C766" s="4" t="s">
        <v>11</v>
      </c>
      <c r="D766" s="4" t="s">
        <v>12</v>
      </c>
      <c r="E766" s="4">
        <v>2.97029702970297</v>
      </c>
      <c r="F766" s="4">
        <v>0.910554177899969</v>
      </c>
      <c r="G766" s="4">
        <v>101.0</v>
      </c>
      <c r="H766" s="4">
        <v>3.48543689320388</v>
      </c>
      <c r="I766" s="4">
        <v>1.91415817605005</v>
      </c>
      <c r="J766" s="4">
        <v>103.0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 t="s">
        <v>1604</v>
      </c>
      <c r="B767" s="4" t="s">
        <v>1605</v>
      </c>
      <c r="C767" s="4" t="s">
        <v>11</v>
      </c>
      <c r="D767" s="4" t="s">
        <v>12</v>
      </c>
      <c r="E767" s="4">
        <v>2.95098039215686</v>
      </c>
      <c r="F767" s="4">
        <v>0.947925833465013</v>
      </c>
      <c r="G767" s="4">
        <v>102.0</v>
      </c>
      <c r="H767" s="4">
        <v>3.44554455445545</v>
      </c>
      <c r="I767" s="4">
        <v>1.58414170783268</v>
      </c>
      <c r="J767" s="4">
        <v>101.0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 t="s">
        <v>1606</v>
      </c>
      <c r="B768" s="4" t="s">
        <v>1607</v>
      </c>
      <c r="C768" s="4" t="s">
        <v>25</v>
      </c>
      <c r="D768" s="4" t="s">
        <v>12</v>
      </c>
      <c r="E768" s="4">
        <v>5.65686274509804</v>
      </c>
      <c r="F768" s="4">
        <v>1.08541271102369</v>
      </c>
      <c r="G768" s="4">
        <v>102.0</v>
      </c>
      <c r="H768" s="4">
        <v>3.97029702970297</v>
      </c>
      <c r="I768" s="4">
        <v>1.79697215083904</v>
      </c>
      <c r="J768" s="4">
        <v>101.0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 t="s">
        <v>1608</v>
      </c>
      <c r="B769" s="4" t="s">
        <v>1609</v>
      </c>
      <c r="C769" s="4" t="s">
        <v>39</v>
      </c>
      <c r="D769" s="4" t="s">
        <v>12</v>
      </c>
      <c r="E769" s="4">
        <v>5.65686274509804</v>
      </c>
      <c r="F769" s="4">
        <v>1.01956210790008</v>
      </c>
      <c r="G769" s="4">
        <v>102.0</v>
      </c>
      <c r="H769" s="4">
        <v>3.96039603960396</v>
      </c>
      <c r="I769" s="4">
        <v>1.62432011672089</v>
      </c>
      <c r="J769" s="4">
        <v>101.0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 t="s">
        <v>1610</v>
      </c>
      <c r="B770" s="4" t="s">
        <v>1611</v>
      </c>
      <c r="C770" s="4" t="s">
        <v>15</v>
      </c>
      <c r="D770" s="4" t="s">
        <v>12</v>
      </c>
      <c r="E770" s="4">
        <v>5.65686274509804</v>
      </c>
      <c r="F770" s="4">
        <v>0.990000480440084</v>
      </c>
      <c r="G770" s="4">
        <v>102.0</v>
      </c>
      <c r="H770" s="4">
        <v>3.67326732673267</v>
      </c>
      <c r="I770" s="4">
        <v>1.74418411236365</v>
      </c>
      <c r="J770" s="4">
        <v>101.0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 t="s">
        <v>1612</v>
      </c>
      <c r="B771" s="4" t="s">
        <v>1613</v>
      </c>
      <c r="C771" s="4" t="s">
        <v>11</v>
      </c>
      <c r="D771" s="4" t="s">
        <v>12</v>
      </c>
      <c r="E771" s="4">
        <v>2.91176470588235</v>
      </c>
      <c r="F771" s="4">
        <v>1.14410188890996</v>
      </c>
      <c r="G771" s="4">
        <v>102.0</v>
      </c>
      <c r="H771" s="4">
        <v>4.38613861386139</v>
      </c>
      <c r="I771" s="4">
        <v>1.8164266956291</v>
      </c>
      <c r="J771" s="4">
        <v>101.0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 t="s">
        <v>1614</v>
      </c>
      <c r="B772" s="4" t="s">
        <v>1615</v>
      </c>
      <c r="C772" s="4" t="s">
        <v>25</v>
      </c>
      <c r="D772" s="4" t="s">
        <v>12</v>
      </c>
      <c r="E772" s="4">
        <v>5.65740740740741</v>
      </c>
      <c r="F772" s="4">
        <v>1.06043578625349</v>
      </c>
      <c r="G772" s="4">
        <v>108.0</v>
      </c>
      <c r="H772" s="4">
        <v>3.63461538461538</v>
      </c>
      <c r="I772" s="4">
        <v>1.63729407543964</v>
      </c>
      <c r="J772" s="4">
        <v>104.0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 t="s">
        <v>1616</v>
      </c>
      <c r="B773" s="4" t="s">
        <v>1617</v>
      </c>
      <c r="C773" s="4" t="s">
        <v>25</v>
      </c>
      <c r="D773" s="4" t="s">
        <v>12</v>
      </c>
      <c r="E773" s="4">
        <v>5.66336633663366</v>
      </c>
      <c r="F773" s="4">
        <v>0.99274596672837</v>
      </c>
      <c r="G773" s="4">
        <v>101.0</v>
      </c>
      <c r="H773" s="4">
        <v>3.74757281553398</v>
      </c>
      <c r="I773" s="4">
        <v>1.61923757538178</v>
      </c>
      <c r="J773" s="4">
        <v>103.0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 t="s">
        <v>1618</v>
      </c>
      <c r="B774" s="4" t="s">
        <v>1619</v>
      </c>
      <c r="C774" s="4" t="s">
        <v>39</v>
      </c>
      <c r="D774" s="4" t="s">
        <v>12</v>
      </c>
      <c r="E774" s="4">
        <v>5.66666666666667</v>
      </c>
      <c r="F774" s="4">
        <v>1.04676146803228</v>
      </c>
      <c r="G774" s="4">
        <v>102.0</v>
      </c>
      <c r="H774" s="4">
        <v>3.57425742574257</v>
      </c>
      <c r="I774" s="4">
        <v>1.75696633236648</v>
      </c>
      <c r="J774" s="4">
        <v>101.0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 t="s">
        <v>1620</v>
      </c>
      <c r="B775" s="4" t="s">
        <v>1621</v>
      </c>
      <c r="C775" s="4" t="s">
        <v>11</v>
      </c>
      <c r="D775" s="4" t="s">
        <v>12</v>
      </c>
      <c r="E775" s="4">
        <v>2.88235294117647</v>
      </c>
      <c r="F775" s="4">
        <v>1.01760851122619</v>
      </c>
      <c r="G775" s="4">
        <v>102.0</v>
      </c>
      <c r="H775" s="4">
        <v>3.67326732673267</v>
      </c>
      <c r="I775" s="4">
        <v>1.43602862708993</v>
      </c>
      <c r="J775" s="4">
        <v>101.0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 t="s">
        <v>1622</v>
      </c>
      <c r="B776" s="4" t="s">
        <v>1623</v>
      </c>
      <c r="C776" s="4" t="s">
        <v>15</v>
      </c>
      <c r="D776" s="4" t="s">
        <v>12</v>
      </c>
      <c r="E776" s="4">
        <v>5.68316831683168</v>
      </c>
      <c r="F776" s="4">
        <v>1.1129303039212</v>
      </c>
      <c r="G776" s="4">
        <v>101.0</v>
      </c>
      <c r="H776" s="4">
        <v>3.49514563106796</v>
      </c>
      <c r="I776" s="4">
        <v>1.70278771665626</v>
      </c>
      <c r="J776" s="4">
        <v>103.0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 t="s">
        <v>1624</v>
      </c>
      <c r="B777" s="4" t="s">
        <v>1625</v>
      </c>
      <c r="C777" s="4" t="s">
        <v>11</v>
      </c>
      <c r="D777" s="4" t="s">
        <v>46</v>
      </c>
      <c r="E777" s="4">
        <v>2.87037037037037</v>
      </c>
      <c r="F777" s="4">
        <v>0.986758997672538</v>
      </c>
      <c r="G777" s="4">
        <v>108.0</v>
      </c>
      <c r="H777" s="4">
        <v>3.74038461538462</v>
      </c>
      <c r="I777" s="4">
        <v>1.75706724046862</v>
      </c>
      <c r="J777" s="4">
        <v>104.0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 t="s">
        <v>1626</v>
      </c>
      <c r="B778" s="4" t="s">
        <v>1627</v>
      </c>
      <c r="C778" s="4" t="s">
        <v>11</v>
      </c>
      <c r="D778" s="4" t="s">
        <v>1628</v>
      </c>
      <c r="E778" s="4">
        <v>2.85294117647059</v>
      </c>
      <c r="F778" s="4">
        <v>1.02828376504544</v>
      </c>
      <c r="G778" s="4">
        <v>102.0</v>
      </c>
      <c r="H778" s="4">
        <v>3.55445544554455</v>
      </c>
      <c r="I778" s="4">
        <v>1.75769876557249</v>
      </c>
      <c r="J778" s="4">
        <v>101.0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 t="s">
        <v>1629</v>
      </c>
      <c r="B779" s="4" t="s">
        <v>1630</v>
      </c>
      <c r="C779" s="4" t="s">
        <v>11</v>
      </c>
      <c r="D779" s="4" t="s">
        <v>12</v>
      </c>
      <c r="E779" s="4">
        <v>2.84259259259259</v>
      </c>
      <c r="F779" s="4">
        <v>0.977905802059496</v>
      </c>
      <c r="G779" s="4">
        <v>108.0</v>
      </c>
      <c r="H779" s="4">
        <v>3.31730769230769</v>
      </c>
      <c r="I779" s="4">
        <v>1.57199040905275</v>
      </c>
      <c r="J779" s="4">
        <v>104.0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0" t="s">
        <v>1631</v>
      </c>
      <c r="B780" s="31" t="s">
        <v>1632</v>
      </c>
      <c r="C780" s="31" t="s">
        <v>11</v>
      </c>
      <c r="D780" s="31" t="s">
        <v>12</v>
      </c>
      <c r="E780" s="31">
        <v>2.82178217821782</v>
      </c>
      <c r="F780" s="31">
        <v>1.12601988973517</v>
      </c>
      <c r="G780" s="31">
        <v>101.0</v>
      </c>
      <c r="H780" s="31">
        <v>3.6504854368932</v>
      </c>
      <c r="I780" s="31">
        <v>1.79710408584869</v>
      </c>
      <c r="J780" s="31">
        <v>103.0</v>
      </c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2" t="s">
        <v>1633</v>
      </c>
      <c r="B781" s="4" t="s">
        <v>1634</v>
      </c>
      <c r="C781" s="4" t="s">
        <v>15</v>
      </c>
      <c r="D781" s="4" t="s">
        <v>12</v>
      </c>
      <c r="E781" s="4">
        <v>5.7029702970297</v>
      </c>
      <c r="F781" s="4">
        <v>1.08207721032693</v>
      </c>
      <c r="G781" s="4">
        <v>101.0</v>
      </c>
      <c r="H781" s="4">
        <v>3.71844660194175</v>
      </c>
      <c r="I781" s="4">
        <v>1.77353903271173</v>
      </c>
      <c r="J781" s="4">
        <v>103.0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 t="s">
        <v>1635</v>
      </c>
      <c r="B782" s="4" t="s">
        <v>1636</v>
      </c>
      <c r="C782" s="4" t="s">
        <v>11</v>
      </c>
      <c r="D782" s="4" t="s">
        <v>12</v>
      </c>
      <c r="E782" s="4">
        <v>2.81481481481481</v>
      </c>
      <c r="F782" s="4">
        <v>1.04253598201557</v>
      </c>
      <c r="G782" s="4">
        <v>108.0</v>
      </c>
      <c r="H782" s="4">
        <v>3.61538461538462</v>
      </c>
      <c r="I782" s="4">
        <v>1.79160768670543</v>
      </c>
      <c r="J782" s="4">
        <v>104.0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 t="s">
        <v>1637</v>
      </c>
      <c r="B783" s="4" t="s">
        <v>1638</v>
      </c>
      <c r="C783" s="4" t="s">
        <v>25</v>
      </c>
      <c r="D783" s="4" t="s">
        <v>1639</v>
      </c>
      <c r="E783" s="4">
        <v>5.70588235294118</v>
      </c>
      <c r="F783" s="4">
        <v>1.1568841328816</v>
      </c>
      <c r="G783" s="4">
        <v>102.0</v>
      </c>
      <c r="H783" s="4">
        <v>4.00990099009901</v>
      </c>
      <c r="I783" s="4">
        <v>1.7175275805934</v>
      </c>
      <c r="J783" s="4">
        <v>101.0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 t="s">
        <v>1640</v>
      </c>
      <c r="B784" s="4" t="s">
        <v>1641</v>
      </c>
      <c r="C784" s="4" t="s">
        <v>11</v>
      </c>
      <c r="D784" s="4" t="s">
        <v>12</v>
      </c>
      <c r="E784" s="4">
        <v>2.81372549019608</v>
      </c>
      <c r="F784" s="4">
        <v>1.14087331632319</v>
      </c>
      <c r="G784" s="4">
        <v>102.0</v>
      </c>
      <c r="H784" s="4">
        <v>4.14851485148515</v>
      </c>
      <c r="I784" s="4">
        <v>1.83513562776086</v>
      </c>
      <c r="J784" s="4">
        <v>101.0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 t="s">
        <v>1642</v>
      </c>
      <c r="B785" s="4" t="s">
        <v>1643</v>
      </c>
      <c r="C785" s="4" t="s">
        <v>39</v>
      </c>
      <c r="D785" s="4" t="s">
        <v>1644</v>
      </c>
      <c r="E785" s="4">
        <v>5.7156862745098</v>
      </c>
      <c r="F785" s="4">
        <v>1.04717867994461</v>
      </c>
      <c r="G785" s="4">
        <v>102.0</v>
      </c>
      <c r="H785" s="4">
        <v>3.98019801980198</v>
      </c>
      <c r="I785" s="4">
        <v>1.79432548897797</v>
      </c>
      <c r="J785" s="4">
        <v>101.0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 t="s">
        <v>1645</v>
      </c>
      <c r="B786" s="4" t="s">
        <v>1646</v>
      </c>
      <c r="C786" s="4" t="s">
        <v>11</v>
      </c>
      <c r="D786" s="4" t="s">
        <v>1647</v>
      </c>
      <c r="E786" s="4">
        <v>2.80555555555556</v>
      </c>
      <c r="F786" s="4">
        <v>0.999610516051438</v>
      </c>
      <c r="G786" s="4">
        <v>108.0</v>
      </c>
      <c r="H786" s="4">
        <v>3.72115384615385</v>
      </c>
      <c r="I786" s="4">
        <v>1.7706163194941</v>
      </c>
      <c r="J786" s="4">
        <v>104.0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 t="s">
        <v>1648</v>
      </c>
      <c r="B787" s="4" t="s">
        <v>1649</v>
      </c>
      <c r="C787" s="4" t="s">
        <v>11</v>
      </c>
      <c r="D787" s="4" t="s">
        <v>12</v>
      </c>
      <c r="E787" s="4">
        <v>2.7962962962963</v>
      </c>
      <c r="F787" s="4">
        <v>0.914670251182014</v>
      </c>
      <c r="G787" s="4">
        <v>108.0</v>
      </c>
      <c r="H787" s="4">
        <v>3.16346153846154</v>
      </c>
      <c r="I787" s="4">
        <v>1.68436889695536</v>
      </c>
      <c r="J787" s="4">
        <v>104.0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 t="s">
        <v>1650</v>
      </c>
      <c r="B788" s="4" t="s">
        <v>1651</v>
      </c>
      <c r="C788" s="4" t="s">
        <v>11</v>
      </c>
      <c r="D788" s="4" t="s">
        <v>12</v>
      </c>
      <c r="E788" s="4">
        <v>2.74509803921569</v>
      </c>
      <c r="F788" s="4">
        <v>1.11414198670132</v>
      </c>
      <c r="G788" s="4">
        <v>102.0</v>
      </c>
      <c r="H788" s="4">
        <v>4.1980198019802</v>
      </c>
      <c r="I788" s="4">
        <v>1.57492731248269</v>
      </c>
      <c r="J788" s="4">
        <v>101.0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 t="s">
        <v>1652</v>
      </c>
      <c r="B789" s="4" t="s">
        <v>1653</v>
      </c>
      <c r="C789" s="4" t="s">
        <v>25</v>
      </c>
      <c r="D789" s="4" t="s">
        <v>1654</v>
      </c>
      <c r="E789" s="4">
        <v>5.73529411764706</v>
      </c>
      <c r="F789" s="4">
        <v>0.932647361416487</v>
      </c>
      <c r="G789" s="4">
        <v>102.0</v>
      </c>
      <c r="H789" s="4">
        <v>4.23</v>
      </c>
      <c r="I789" s="4">
        <v>1.71655633655457</v>
      </c>
      <c r="J789" s="4">
        <v>100.0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 t="s">
        <v>1655</v>
      </c>
      <c r="B790" s="4" t="s">
        <v>1656</v>
      </c>
      <c r="C790" s="4" t="s">
        <v>11</v>
      </c>
      <c r="D790" s="4" t="s">
        <v>46</v>
      </c>
      <c r="E790" s="4">
        <v>2.74074074074074</v>
      </c>
      <c r="F790" s="4">
        <v>1.27792450284052</v>
      </c>
      <c r="G790" s="4">
        <v>108.0</v>
      </c>
      <c r="H790" s="4">
        <v>3.67307692307692</v>
      </c>
      <c r="I790" s="4">
        <v>1.72047807587292</v>
      </c>
      <c r="J790" s="4">
        <v>104.0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 t="s">
        <v>1657</v>
      </c>
      <c r="B791" s="4" t="s">
        <v>1658</v>
      </c>
      <c r="C791" s="4" t="s">
        <v>15</v>
      </c>
      <c r="D791" s="4" t="s">
        <v>12</v>
      </c>
      <c r="E791" s="4">
        <v>5.73529411764706</v>
      </c>
      <c r="F791" s="4">
        <v>1.1073692899487</v>
      </c>
      <c r="G791" s="4">
        <v>102.0</v>
      </c>
      <c r="H791" s="4">
        <v>3.24752475247525</v>
      </c>
      <c r="I791" s="4">
        <v>1.75730441639495</v>
      </c>
      <c r="J791" s="4">
        <v>101.0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 t="s">
        <v>1659</v>
      </c>
      <c r="B792" s="4" t="s">
        <v>1660</v>
      </c>
      <c r="C792" s="4" t="s">
        <v>39</v>
      </c>
      <c r="D792" s="4" t="s">
        <v>46</v>
      </c>
      <c r="E792" s="4">
        <v>5.74257425742574</v>
      </c>
      <c r="F792" s="4">
        <v>0.986442754005874</v>
      </c>
      <c r="G792" s="4">
        <v>101.0</v>
      </c>
      <c r="H792" s="4">
        <v>3.93203883495146</v>
      </c>
      <c r="I792" s="4">
        <v>1.67016575391064</v>
      </c>
      <c r="J792" s="4">
        <v>103.0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 t="s">
        <v>1661</v>
      </c>
      <c r="B793" s="4" t="s">
        <v>1662</v>
      </c>
      <c r="C793" s="4" t="s">
        <v>25</v>
      </c>
      <c r="D793" s="4" t="s">
        <v>12</v>
      </c>
      <c r="E793" s="4">
        <v>5.74509803921569</v>
      </c>
      <c r="F793" s="4">
        <v>1.01167711467274</v>
      </c>
      <c r="G793" s="4">
        <v>102.0</v>
      </c>
      <c r="H793" s="4">
        <v>3.52475247524752</v>
      </c>
      <c r="I793" s="4">
        <v>1.62845975944105</v>
      </c>
      <c r="J793" s="4">
        <v>101.0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 t="s">
        <v>1663</v>
      </c>
      <c r="B794" s="4" t="s">
        <v>1664</v>
      </c>
      <c r="C794" s="4" t="s">
        <v>39</v>
      </c>
      <c r="D794" s="4" t="s">
        <v>46</v>
      </c>
      <c r="E794" s="4">
        <v>5.75247524752475</v>
      </c>
      <c r="F794" s="4">
        <v>1.14373021813765</v>
      </c>
      <c r="G794" s="4">
        <v>101.0</v>
      </c>
      <c r="H794" s="4">
        <v>4.44660194174757</v>
      </c>
      <c r="I794" s="4">
        <v>1.58873581103061</v>
      </c>
      <c r="J794" s="4">
        <v>103.0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 t="s">
        <v>1665</v>
      </c>
      <c r="B795" s="4" t="s">
        <v>1666</v>
      </c>
      <c r="C795" s="4" t="s">
        <v>11</v>
      </c>
      <c r="D795" s="4" t="s">
        <v>46</v>
      </c>
      <c r="E795" s="4">
        <v>2.69607843137255</v>
      </c>
      <c r="F795" s="4">
        <v>1.01268406894282</v>
      </c>
      <c r="G795" s="4">
        <v>102.0</v>
      </c>
      <c r="H795" s="4">
        <v>3.25</v>
      </c>
      <c r="I795" s="4">
        <v>1.55293791299464</v>
      </c>
      <c r="J795" s="4">
        <v>100.0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 t="s">
        <v>1667</v>
      </c>
      <c r="B796" s="4" t="s">
        <v>1668</v>
      </c>
      <c r="C796" s="4" t="s">
        <v>25</v>
      </c>
      <c r="D796" s="4" t="s">
        <v>12</v>
      </c>
      <c r="E796" s="4">
        <v>5.75490196078431</v>
      </c>
      <c r="F796" s="4">
        <v>0.958921367116694</v>
      </c>
      <c r="G796" s="4">
        <v>102.0</v>
      </c>
      <c r="H796" s="4">
        <v>3.95049504950495</v>
      </c>
      <c r="I796" s="4">
        <v>1.7457161145144</v>
      </c>
      <c r="J796" s="4">
        <v>101.0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 t="s">
        <v>1669</v>
      </c>
      <c r="B797" s="4" t="s">
        <v>1670</v>
      </c>
      <c r="C797" s="4" t="s">
        <v>15</v>
      </c>
      <c r="D797" s="4" t="s">
        <v>12</v>
      </c>
      <c r="E797" s="4">
        <v>5.75490196078431</v>
      </c>
      <c r="F797" s="4">
        <v>1.13831797494168</v>
      </c>
      <c r="G797" s="4">
        <v>102.0</v>
      </c>
      <c r="H797" s="4">
        <v>3.66336633663366</v>
      </c>
      <c r="I797" s="4">
        <v>1.67497598623247</v>
      </c>
      <c r="J797" s="4">
        <v>101.0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 t="s">
        <v>1671</v>
      </c>
      <c r="B798" s="4" t="s">
        <v>1672</v>
      </c>
      <c r="C798" s="4" t="s">
        <v>11</v>
      </c>
      <c r="D798" s="4" t="s">
        <v>46</v>
      </c>
      <c r="E798" s="4">
        <v>2.69444444444444</v>
      </c>
      <c r="F798" s="4">
        <v>0.825508433908963</v>
      </c>
      <c r="G798" s="4">
        <v>108.0</v>
      </c>
      <c r="H798" s="4">
        <v>3.45192307692308</v>
      </c>
      <c r="I798" s="4">
        <v>1.66564257807877</v>
      </c>
      <c r="J798" s="4">
        <v>104.0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 t="s">
        <v>1673</v>
      </c>
      <c r="B799" s="4" t="s">
        <v>1674</v>
      </c>
      <c r="C799" s="4" t="s">
        <v>11</v>
      </c>
      <c r="D799" s="4" t="s">
        <v>12</v>
      </c>
      <c r="E799" s="4">
        <v>2.68627450980392</v>
      </c>
      <c r="F799" s="4">
        <v>1.03388522408028</v>
      </c>
      <c r="G799" s="4">
        <v>102.0</v>
      </c>
      <c r="H799" s="4">
        <v>4.33663366336634</v>
      </c>
      <c r="I799" s="4">
        <v>1.80153949566904</v>
      </c>
      <c r="J799" s="4">
        <v>101.0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 t="s">
        <v>1675</v>
      </c>
      <c r="B800" s="4" t="s">
        <v>1676</v>
      </c>
      <c r="C800" s="4" t="s">
        <v>15</v>
      </c>
      <c r="D800" s="4" t="s">
        <v>12</v>
      </c>
      <c r="E800" s="4">
        <v>5.76237623762376</v>
      </c>
      <c r="F800" s="4">
        <v>1.04065858812086</v>
      </c>
      <c r="G800" s="4">
        <v>101.0</v>
      </c>
      <c r="H800" s="4">
        <v>3.67961165048544</v>
      </c>
      <c r="I800" s="4">
        <v>1.82151408811359</v>
      </c>
      <c r="J800" s="4">
        <v>103.0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 t="s">
        <v>1677</v>
      </c>
      <c r="B801" s="4" t="s">
        <v>1678</v>
      </c>
      <c r="C801" s="4" t="s">
        <v>11</v>
      </c>
      <c r="D801" s="4" t="s">
        <v>46</v>
      </c>
      <c r="E801" s="4">
        <v>2.65686274509804</v>
      </c>
      <c r="F801" s="4">
        <v>0.959528535624417</v>
      </c>
      <c r="G801" s="4">
        <v>102.0</v>
      </c>
      <c r="H801" s="4">
        <v>4.00990099009901</v>
      </c>
      <c r="I801" s="4">
        <v>1.56521595637759</v>
      </c>
      <c r="J801" s="4">
        <v>101.0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0" t="s">
        <v>1679</v>
      </c>
      <c r="B802" s="31" t="s">
        <v>1680</v>
      </c>
      <c r="C802" s="31" t="s">
        <v>11</v>
      </c>
      <c r="D802" s="31" t="s">
        <v>12</v>
      </c>
      <c r="E802" s="31">
        <v>2.63725490196078</v>
      </c>
      <c r="F802" s="31">
        <v>0.865044103337111</v>
      </c>
      <c r="G802" s="31">
        <v>102.0</v>
      </c>
      <c r="H802" s="31">
        <v>3.48514851485149</v>
      </c>
      <c r="I802" s="31">
        <v>1.65899886308664</v>
      </c>
      <c r="J802" s="31">
        <v>101.0</v>
      </c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2" t="s">
        <v>1681</v>
      </c>
      <c r="B803" s="4" t="s">
        <v>1682</v>
      </c>
      <c r="C803" s="4" t="s">
        <v>39</v>
      </c>
      <c r="D803" s="4" t="s">
        <v>12</v>
      </c>
      <c r="E803" s="4">
        <v>5.77227722772277</v>
      </c>
      <c r="F803" s="4">
        <v>1.02840836362616</v>
      </c>
      <c r="G803" s="4">
        <v>101.0</v>
      </c>
      <c r="H803" s="4">
        <v>4.4368932038835</v>
      </c>
      <c r="I803" s="4">
        <v>1.91828100597763</v>
      </c>
      <c r="J803" s="4">
        <v>103.0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 t="s">
        <v>1683</v>
      </c>
      <c r="B804" s="4" t="s">
        <v>1684</v>
      </c>
      <c r="C804" s="4" t="s">
        <v>11</v>
      </c>
      <c r="D804" s="4" t="s">
        <v>46</v>
      </c>
      <c r="E804" s="4">
        <v>2.62962962962963</v>
      </c>
      <c r="F804" s="4">
        <v>1.156797000686</v>
      </c>
      <c r="G804" s="4">
        <v>108.0</v>
      </c>
      <c r="H804" s="4">
        <v>4.16346153846154</v>
      </c>
      <c r="I804" s="4">
        <v>1.98592414193883</v>
      </c>
      <c r="J804" s="4">
        <v>104.0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 t="s">
        <v>1685</v>
      </c>
      <c r="B805" s="4" t="s">
        <v>1686</v>
      </c>
      <c r="C805" s="4" t="s">
        <v>11</v>
      </c>
      <c r="D805" s="4" t="s">
        <v>12</v>
      </c>
      <c r="E805" s="4">
        <v>2.61386138613861</v>
      </c>
      <c r="F805" s="4">
        <v>1.19975244971371</v>
      </c>
      <c r="G805" s="4">
        <v>101.0</v>
      </c>
      <c r="H805" s="4">
        <v>4.07766990291262</v>
      </c>
      <c r="I805" s="4">
        <v>1.85075141278574</v>
      </c>
      <c r="J805" s="4">
        <v>103.0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 t="s">
        <v>1687</v>
      </c>
      <c r="B806" s="4" t="s">
        <v>1688</v>
      </c>
      <c r="C806" s="4" t="s">
        <v>39</v>
      </c>
      <c r="D806" s="4" t="s">
        <v>12</v>
      </c>
      <c r="E806" s="4">
        <v>5.7843137254902</v>
      </c>
      <c r="F806" s="4">
        <v>0.950533471688317</v>
      </c>
      <c r="G806" s="4">
        <v>102.0</v>
      </c>
      <c r="H806" s="4">
        <v>3.45544554455446</v>
      </c>
      <c r="I806" s="4">
        <v>1.63416493950426</v>
      </c>
      <c r="J806" s="4">
        <v>101.0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 t="s">
        <v>1689</v>
      </c>
      <c r="B807" s="4" t="s">
        <v>1690</v>
      </c>
      <c r="C807" s="4" t="s">
        <v>39</v>
      </c>
      <c r="D807" s="4" t="s">
        <v>12</v>
      </c>
      <c r="E807" s="4">
        <v>5.78703703703704</v>
      </c>
      <c r="F807" s="4">
        <v>1.09417254978769</v>
      </c>
      <c r="G807" s="4">
        <v>108.0</v>
      </c>
      <c r="H807" s="4">
        <v>3.27884615384615</v>
      </c>
      <c r="I807" s="4">
        <v>1.98761569007728</v>
      </c>
      <c r="J807" s="4">
        <v>104.0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 t="s">
        <v>1691</v>
      </c>
      <c r="B808" s="4" t="s">
        <v>1692</v>
      </c>
      <c r="C808" s="4" t="s">
        <v>15</v>
      </c>
      <c r="D808" s="4" t="s">
        <v>12</v>
      </c>
      <c r="E808" s="4">
        <v>5.79207920792079</v>
      </c>
      <c r="F808" s="4">
        <v>1.09833357121749</v>
      </c>
      <c r="G808" s="4">
        <v>101.0</v>
      </c>
      <c r="H808" s="4">
        <v>3.70873786407767</v>
      </c>
      <c r="I808" s="4">
        <v>1.84513705299541</v>
      </c>
      <c r="J808" s="4">
        <v>103.0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 t="s">
        <v>1693</v>
      </c>
      <c r="B809" s="4" t="s">
        <v>1694</v>
      </c>
      <c r="C809" s="4" t="s">
        <v>11</v>
      </c>
      <c r="D809" s="4" t="s">
        <v>12</v>
      </c>
      <c r="E809" s="4">
        <v>2.58823529411765</v>
      </c>
      <c r="F809" s="4">
        <v>1.12885591058416</v>
      </c>
      <c r="G809" s="4">
        <v>102.0</v>
      </c>
      <c r="H809" s="4">
        <v>4.27722772277228</v>
      </c>
      <c r="I809" s="4">
        <v>1.69775623621996</v>
      </c>
      <c r="J809" s="4">
        <v>101.0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 t="s">
        <v>1695</v>
      </c>
      <c r="B810" s="4" t="s">
        <v>1696</v>
      </c>
      <c r="C810" s="4" t="s">
        <v>11</v>
      </c>
      <c r="D810" s="4" t="s">
        <v>12</v>
      </c>
      <c r="E810" s="4">
        <v>2.58823529411765</v>
      </c>
      <c r="F810" s="4">
        <v>1.15486865376755</v>
      </c>
      <c r="G810" s="4">
        <v>102.0</v>
      </c>
      <c r="H810" s="4">
        <v>3.89108910891089</v>
      </c>
      <c r="I810" s="4">
        <v>1.82702484985295</v>
      </c>
      <c r="J810" s="4">
        <v>101.0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 t="s">
        <v>1697</v>
      </c>
      <c r="B811" s="4" t="s">
        <v>1698</v>
      </c>
      <c r="C811" s="4" t="s">
        <v>39</v>
      </c>
      <c r="D811" s="4" t="s">
        <v>46</v>
      </c>
      <c r="E811" s="4">
        <v>5.80392156862745</v>
      </c>
      <c r="F811" s="4">
        <v>1.12610091950781</v>
      </c>
      <c r="G811" s="4">
        <v>102.0</v>
      </c>
      <c r="H811" s="4">
        <v>4.20792079207921</v>
      </c>
      <c r="I811" s="4">
        <v>1.63900476926193</v>
      </c>
      <c r="J811" s="4">
        <v>101.0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 t="s">
        <v>1699</v>
      </c>
      <c r="B812" s="4" t="s">
        <v>1700</v>
      </c>
      <c r="C812" s="4" t="s">
        <v>11</v>
      </c>
      <c r="D812" s="4" t="s">
        <v>46</v>
      </c>
      <c r="E812" s="4">
        <v>2.58823529411765</v>
      </c>
      <c r="F812" s="4">
        <v>1.64919987306459</v>
      </c>
      <c r="G812" s="4">
        <v>102.0</v>
      </c>
      <c r="H812" s="4">
        <v>3.47524752475248</v>
      </c>
      <c r="I812" s="4">
        <v>1.62230736548868</v>
      </c>
      <c r="J812" s="4">
        <v>101.0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 t="s">
        <v>1701</v>
      </c>
      <c r="B813" s="4" t="s">
        <v>1702</v>
      </c>
      <c r="C813" s="4" t="s">
        <v>25</v>
      </c>
      <c r="D813" s="4" t="s">
        <v>12</v>
      </c>
      <c r="E813" s="4">
        <v>5.80555555555556</v>
      </c>
      <c r="F813" s="4">
        <v>0.961485740227298</v>
      </c>
      <c r="G813" s="4">
        <v>108.0</v>
      </c>
      <c r="H813" s="4">
        <v>3.56730769230769</v>
      </c>
      <c r="I813" s="4">
        <v>1.65326639368371</v>
      </c>
      <c r="J813" s="4">
        <v>104.0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 t="s">
        <v>1703</v>
      </c>
      <c r="B814" s="4" t="s">
        <v>1704</v>
      </c>
      <c r="C814" s="4" t="s">
        <v>11</v>
      </c>
      <c r="D814" s="4" t="s">
        <v>46</v>
      </c>
      <c r="E814" s="4">
        <v>2.58333333333333</v>
      </c>
      <c r="F814" s="4">
        <v>0.977551776958906</v>
      </c>
      <c r="G814" s="4">
        <v>108.0</v>
      </c>
      <c r="H814" s="4">
        <v>3.96153846153846</v>
      </c>
      <c r="I814" s="4">
        <v>1.60655862633941</v>
      </c>
      <c r="J814" s="4">
        <v>104.0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 t="s">
        <v>1705</v>
      </c>
      <c r="B815" s="4" t="s">
        <v>1706</v>
      </c>
      <c r="C815" s="4" t="s">
        <v>39</v>
      </c>
      <c r="D815" s="4" t="s">
        <v>12</v>
      </c>
      <c r="E815" s="4">
        <v>5.81481481481481</v>
      </c>
      <c r="F815" s="4">
        <v>1.04253598201557</v>
      </c>
      <c r="G815" s="4">
        <v>108.0</v>
      </c>
      <c r="H815" s="4">
        <v>3.32692307692308</v>
      </c>
      <c r="I815" s="4">
        <v>1.85096305393573</v>
      </c>
      <c r="J815" s="4">
        <v>104.0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 t="s">
        <v>1707</v>
      </c>
      <c r="B816" s="4" t="s">
        <v>1708</v>
      </c>
      <c r="C816" s="4" t="s">
        <v>15</v>
      </c>
      <c r="D816" s="4" t="s">
        <v>12</v>
      </c>
      <c r="E816" s="4">
        <v>5.81481481481481</v>
      </c>
      <c r="F816" s="4">
        <v>0.996706240510176</v>
      </c>
      <c r="G816" s="4">
        <v>108.0</v>
      </c>
      <c r="H816" s="4">
        <v>3.11538461538462</v>
      </c>
      <c r="I816" s="4">
        <v>1.61490444159683</v>
      </c>
      <c r="J816" s="4">
        <v>104.0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 t="s">
        <v>1709</v>
      </c>
      <c r="B817" s="4" t="s">
        <v>1710</v>
      </c>
      <c r="C817" s="4" t="s">
        <v>11</v>
      </c>
      <c r="D817" s="4" t="s">
        <v>46</v>
      </c>
      <c r="E817" s="4">
        <v>2.55882352941176</v>
      </c>
      <c r="F817" s="4">
        <v>0.970592647490016</v>
      </c>
      <c r="G817" s="4">
        <v>102.0</v>
      </c>
      <c r="H817" s="4">
        <v>3.43564356435644</v>
      </c>
      <c r="I817" s="4">
        <v>1.65780482315717</v>
      </c>
      <c r="J817" s="4">
        <v>101.0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0" t="s">
        <v>1711</v>
      </c>
      <c r="B818" s="31" t="s">
        <v>1712</v>
      </c>
      <c r="C818" s="31" t="s">
        <v>11</v>
      </c>
      <c r="D818" s="31" t="s">
        <v>12</v>
      </c>
      <c r="E818" s="31">
        <v>2.50925925925926</v>
      </c>
      <c r="F818" s="31">
        <v>1.20354127295571</v>
      </c>
      <c r="G818" s="31">
        <v>108.0</v>
      </c>
      <c r="H818" s="31">
        <v>3.93269230769231</v>
      </c>
      <c r="I818" s="31">
        <v>1.77503957607691</v>
      </c>
      <c r="J818" s="31">
        <v>104.0</v>
      </c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2" t="s">
        <v>1713</v>
      </c>
      <c r="B819" s="4" t="s">
        <v>1714</v>
      </c>
      <c r="C819" s="4" t="s">
        <v>11</v>
      </c>
      <c r="D819" s="4" t="s">
        <v>46</v>
      </c>
      <c r="E819" s="4">
        <v>2.5</v>
      </c>
      <c r="F819" s="4">
        <v>1.06007658979794</v>
      </c>
      <c r="G819" s="4">
        <v>102.0</v>
      </c>
      <c r="H819" s="4">
        <v>3.66336633663366</v>
      </c>
      <c r="I819" s="4">
        <v>1.79040346136156</v>
      </c>
      <c r="J819" s="4">
        <v>101.0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 t="s">
        <v>1715</v>
      </c>
      <c r="B820" s="4" t="s">
        <v>1716</v>
      </c>
      <c r="C820" s="4" t="s">
        <v>25</v>
      </c>
      <c r="D820" s="4" t="s">
        <v>12</v>
      </c>
      <c r="E820" s="4">
        <v>5.84313725490196</v>
      </c>
      <c r="F820" s="4">
        <v>1.07854961318582</v>
      </c>
      <c r="G820" s="4">
        <v>102.0</v>
      </c>
      <c r="H820" s="4">
        <v>3.53465346534653</v>
      </c>
      <c r="I820" s="4">
        <v>1.76388410297073</v>
      </c>
      <c r="J820" s="4">
        <v>101.0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 t="s">
        <v>1717</v>
      </c>
      <c r="B821" s="4" t="s">
        <v>1718</v>
      </c>
      <c r="C821" s="4" t="s">
        <v>11</v>
      </c>
      <c r="D821" s="4" t="s">
        <v>1719</v>
      </c>
      <c r="E821" s="4">
        <v>2.49019607843137</v>
      </c>
      <c r="F821" s="4">
        <v>1.14100093316764</v>
      </c>
      <c r="G821" s="4">
        <v>102.0</v>
      </c>
      <c r="H821" s="4">
        <v>3.87128712871287</v>
      </c>
      <c r="I821" s="4">
        <v>1.85829688874859</v>
      </c>
      <c r="J821" s="4">
        <v>101.0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 t="s">
        <v>1720</v>
      </c>
      <c r="B822" s="4" t="s">
        <v>1721</v>
      </c>
      <c r="C822" s="4" t="s">
        <v>25</v>
      </c>
      <c r="D822" s="4" t="s">
        <v>1722</v>
      </c>
      <c r="E822" s="4">
        <v>5.85294117647059</v>
      </c>
      <c r="F822" s="4">
        <v>1.1379768292159</v>
      </c>
      <c r="G822" s="4">
        <v>102.0</v>
      </c>
      <c r="H822" s="4">
        <v>4.05940594059406</v>
      </c>
      <c r="I822" s="4">
        <v>1.73678888859998</v>
      </c>
      <c r="J822" s="4">
        <v>101.0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 t="s">
        <v>1723</v>
      </c>
      <c r="B823" s="4" t="s">
        <v>1724</v>
      </c>
      <c r="C823" s="4" t="s">
        <v>39</v>
      </c>
      <c r="D823" s="4" t="s">
        <v>12</v>
      </c>
      <c r="E823" s="4">
        <v>5.85294117647059</v>
      </c>
      <c r="F823" s="4">
        <v>1.00884267408749</v>
      </c>
      <c r="G823" s="4">
        <v>102.0</v>
      </c>
      <c r="H823" s="4">
        <v>3.89108910891089</v>
      </c>
      <c r="I823" s="4">
        <v>1.88627140199394</v>
      </c>
      <c r="J823" s="4">
        <v>101.0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 t="s">
        <v>1725</v>
      </c>
      <c r="B824" s="4" t="s">
        <v>1726</v>
      </c>
      <c r="C824" s="4" t="s">
        <v>11</v>
      </c>
      <c r="D824" s="4" t="s">
        <v>46</v>
      </c>
      <c r="E824" s="4">
        <v>2.46078431372549</v>
      </c>
      <c r="F824" s="4">
        <v>0.991763791618431</v>
      </c>
      <c r="G824" s="4">
        <v>102.0</v>
      </c>
      <c r="H824" s="4">
        <v>3.74257425742574</v>
      </c>
      <c r="I824" s="4">
        <v>1.70677160362208</v>
      </c>
      <c r="J824" s="4">
        <v>101.0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 t="s">
        <v>1727</v>
      </c>
      <c r="B825" s="4" t="s">
        <v>1728</v>
      </c>
      <c r="C825" s="4" t="s">
        <v>25</v>
      </c>
      <c r="D825" s="4" t="s">
        <v>12</v>
      </c>
      <c r="E825" s="4">
        <v>5.86274509803922</v>
      </c>
      <c r="F825" s="4">
        <v>0.975331532222767</v>
      </c>
      <c r="G825" s="4">
        <v>102.0</v>
      </c>
      <c r="H825" s="4">
        <v>4.38613861386139</v>
      </c>
      <c r="I825" s="4">
        <v>1.5618597698238</v>
      </c>
      <c r="J825" s="4">
        <v>101.0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 t="s">
        <v>1729</v>
      </c>
      <c r="B826" s="4" t="s">
        <v>1730</v>
      </c>
      <c r="C826" s="4" t="s">
        <v>11</v>
      </c>
      <c r="D826" s="4" t="s">
        <v>12</v>
      </c>
      <c r="E826" s="4">
        <v>2.43137254901961</v>
      </c>
      <c r="F826" s="4">
        <v>1.2388896651467</v>
      </c>
      <c r="G826" s="4">
        <v>102.0</v>
      </c>
      <c r="H826" s="4">
        <v>4.03960396039604</v>
      </c>
      <c r="I826" s="4">
        <v>1.77155746211749</v>
      </c>
      <c r="J826" s="4">
        <v>101.0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 t="s">
        <v>1731</v>
      </c>
      <c r="B827" s="4" t="s">
        <v>1732</v>
      </c>
      <c r="C827" s="4" t="s">
        <v>39</v>
      </c>
      <c r="D827" s="4" t="s">
        <v>12</v>
      </c>
      <c r="E827" s="4">
        <v>5.87128712871287</v>
      </c>
      <c r="F827" s="4">
        <v>1.0739028479023</v>
      </c>
      <c r="G827" s="4">
        <v>101.0</v>
      </c>
      <c r="H827" s="4">
        <v>3.8252427184466</v>
      </c>
      <c r="I827" s="4">
        <v>1.77359270069573</v>
      </c>
      <c r="J827" s="4">
        <v>103.0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 t="s">
        <v>1733</v>
      </c>
      <c r="B828" s="4" t="s">
        <v>1734</v>
      </c>
      <c r="C828" s="4" t="s">
        <v>39</v>
      </c>
      <c r="D828" s="4" t="s">
        <v>12</v>
      </c>
      <c r="E828" s="4">
        <v>5.87962962962963</v>
      </c>
      <c r="F828" s="4">
        <v>1.12505528497673</v>
      </c>
      <c r="G828" s="4">
        <v>108.0</v>
      </c>
      <c r="H828" s="4">
        <v>3.53846153846154</v>
      </c>
      <c r="I828" s="4">
        <v>1.88464967733352</v>
      </c>
      <c r="J828" s="4">
        <v>104.0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 t="s">
        <v>1735</v>
      </c>
      <c r="B829" s="4" t="s">
        <v>1736</v>
      </c>
      <c r="C829" s="4" t="s">
        <v>25</v>
      </c>
      <c r="D829" s="4" t="s">
        <v>1737</v>
      </c>
      <c r="E829" s="4">
        <v>5.89108910891089</v>
      </c>
      <c r="F829" s="4">
        <v>0.988948836887024</v>
      </c>
      <c r="G829" s="4">
        <v>101.0</v>
      </c>
      <c r="H829" s="4">
        <v>4.19417475728155</v>
      </c>
      <c r="I829" s="4">
        <v>1.6152353827568</v>
      </c>
      <c r="J829" s="4">
        <v>103.0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 t="s">
        <v>1738</v>
      </c>
      <c r="B830" s="4" t="s">
        <v>1739</v>
      </c>
      <c r="C830" s="4" t="s">
        <v>15</v>
      </c>
      <c r="D830" s="4" t="s">
        <v>12</v>
      </c>
      <c r="E830" s="4">
        <v>5.89108910891089</v>
      </c>
      <c r="F830" s="4">
        <v>1.13930671988723</v>
      </c>
      <c r="G830" s="4">
        <v>101.0</v>
      </c>
      <c r="H830" s="4">
        <v>4.07766990291262</v>
      </c>
      <c r="I830" s="4">
        <v>1.77504112290585</v>
      </c>
      <c r="J830" s="4">
        <v>103.0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 t="s">
        <v>1740</v>
      </c>
      <c r="B831" s="4" t="s">
        <v>1741</v>
      </c>
      <c r="C831" s="4" t="s">
        <v>39</v>
      </c>
      <c r="D831" s="4" t="s">
        <v>12</v>
      </c>
      <c r="E831" s="4">
        <v>5.89108910891089</v>
      </c>
      <c r="F831" s="4">
        <v>0.999009410356178</v>
      </c>
      <c r="G831" s="4">
        <v>101.0</v>
      </c>
      <c r="H831" s="4">
        <v>3.55339805825243</v>
      </c>
      <c r="I831" s="4">
        <v>1.77525560346764</v>
      </c>
      <c r="J831" s="4">
        <v>103.0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 t="s">
        <v>1742</v>
      </c>
      <c r="B832" s="4" t="s">
        <v>1743</v>
      </c>
      <c r="C832" s="4" t="s">
        <v>25</v>
      </c>
      <c r="D832" s="4" t="s">
        <v>12</v>
      </c>
      <c r="E832" s="4">
        <v>5.9009900990099</v>
      </c>
      <c r="F832" s="4">
        <v>1.03445590041383</v>
      </c>
      <c r="G832" s="4">
        <v>101.0</v>
      </c>
      <c r="H832" s="4">
        <v>4.39805825242718</v>
      </c>
      <c r="I832" s="4">
        <v>1.63503196482061</v>
      </c>
      <c r="J832" s="4">
        <v>103.0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 t="s">
        <v>1744</v>
      </c>
      <c r="B833" s="4" t="s">
        <v>1745</v>
      </c>
      <c r="C833" s="4" t="s">
        <v>25</v>
      </c>
      <c r="D833" s="4" t="s">
        <v>12</v>
      </c>
      <c r="E833" s="4">
        <v>5.9009900990099</v>
      </c>
      <c r="F833" s="4">
        <v>0.943450586888889</v>
      </c>
      <c r="G833" s="4">
        <v>101.0</v>
      </c>
      <c r="H833" s="4">
        <v>4.19417475728155</v>
      </c>
      <c r="I833" s="4">
        <v>1.63334285167605</v>
      </c>
      <c r="J833" s="4">
        <v>103.0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 t="s">
        <v>1746</v>
      </c>
      <c r="B834" s="4" t="s">
        <v>1747</v>
      </c>
      <c r="C834" s="4" t="s">
        <v>11</v>
      </c>
      <c r="D834" s="4" t="s">
        <v>12</v>
      </c>
      <c r="E834" s="4">
        <v>2.41584158415842</v>
      </c>
      <c r="F834" s="4">
        <v>0.930240041415905</v>
      </c>
      <c r="G834" s="4">
        <v>101.0</v>
      </c>
      <c r="H834" s="4">
        <v>3.3495145631068</v>
      </c>
      <c r="I834" s="4">
        <v>1.75291766785438</v>
      </c>
      <c r="J834" s="4">
        <v>103.0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 t="s">
        <v>1748</v>
      </c>
      <c r="B835" s="4" t="s">
        <v>1749</v>
      </c>
      <c r="C835" s="4" t="s">
        <v>25</v>
      </c>
      <c r="D835" s="4" t="s">
        <v>12</v>
      </c>
      <c r="E835" s="4">
        <v>5.90740740740741</v>
      </c>
      <c r="F835" s="4">
        <v>1.00964541788252</v>
      </c>
      <c r="G835" s="4">
        <v>108.0</v>
      </c>
      <c r="H835" s="4">
        <v>3.00961538461538</v>
      </c>
      <c r="I835" s="4">
        <v>1.73762024691227</v>
      </c>
      <c r="J835" s="4">
        <v>104.0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 t="s">
        <v>1750</v>
      </c>
      <c r="B836" s="4" t="s">
        <v>1751</v>
      </c>
      <c r="C836" s="4" t="s">
        <v>15</v>
      </c>
      <c r="D836" s="4" t="s">
        <v>12</v>
      </c>
      <c r="E836" s="4">
        <v>5.91176470588235</v>
      </c>
      <c r="F836" s="4">
        <v>0.965780258881368</v>
      </c>
      <c r="G836" s="4">
        <v>102.0</v>
      </c>
      <c r="H836" s="4">
        <v>3.7029702970297</v>
      </c>
      <c r="I836" s="4">
        <v>1.70613337377501</v>
      </c>
      <c r="J836" s="4">
        <v>101.0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0" t="s">
        <v>1752</v>
      </c>
      <c r="B837" s="31" t="s">
        <v>1753</v>
      </c>
      <c r="C837" s="31" t="s">
        <v>11</v>
      </c>
      <c r="D837" s="31" t="s">
        <v>12</v>
      </c>
      <c r="E837" s="31">
        <v>2.38888888888889</v>
      </c>
      <c r="F837" s="31">
        <v>1.25923380749226</v>
      </c>
      <c r="G837" s="31">
        <v>108.0</v>
      </c>
      <c r="H837" s="31">
        <v>4.56730769230769</v>
      </c>
      <c r="I837" s="31">
        <v>1.75579165381054</v>
      </c>
      <c r="J837" s="31">
        <v>104.0</v>
      </c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2" t="s">
        <v>1754</v>
      </c>
      <c r="B838" s="4" t="s">
        <v>1755</v>
      </c>
      <c r="C838" s="4" t="s">
        <v>11</v>
      </c>
      <c r="D838" s="4" t="s">
        <v>46</v>
      </c>
      <c r="E838" s="4">
        <v>2.35294117647059</v>
      </c>
      <c r="F838" s="4">
        <v>1.03068811796078</v>
      </c>
      <c r="G838" s="4">
        <v>102.0</v>
      </c>
      <c r="H838" s="4">
        <v>4.24752475247525</v>
      </c>
      <c r="I838" s="4">
        <v>1.80779390746877</v>
      </c>
      <c r="J838" s="4">
        <v>101.0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 t="s">
        <v>1756</v>
      </c>
      <c r="B839" s="4" t="s">
        <v>1757</v>
      </c>
      <c r="C839" s="4" t="s">
        <v>11</v>
      </c>
      <c r="D839" s="4" t="s">
        <v>12</v>
      </c>
      <c r="E839" s="4">
        <v>2.35185185185185</v>
      </c>
      <c r="F839" s="4">
        <v>0.88934308229947</v>
      </c>
      <c r="G839" s="4">
        <v>108.0</v>
      </c>
      <c r="H839" s="4">
        <v>3.55769230769231</v>
      </c>
      <c r="I839" s="4">
        <v>1.78356533450965</v>
      </c>
      <c r="J839" s="4">
        <v>104.0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 t="s">
        <v>1758</v>
      </c>
      <c r="B840" s="4" t="s">
        <v>1759</v>
      </c>
      <c r="C840" s="4" t="s">
        <v>39</v>
      </c>
      <c r="D840" s="4" t="s">
        <v>46</v>
      </c>
      <c r="E840" s="4">
        <v>5.92592592592593</v>
      </c>
      <c r="F840" s="4">
        <v>0.973515680155425</v>
      </c>
      <c r="G840" s="4">
        <v>108.0</v>
      </c>
      <c r="H840" s="4">
        <v>3.625</v>
      </c>
      <c r="I840" s="4">
        <v>1.74148413437828</v>
      </c>
      <c r="J840" s="4">
        <v>104.0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0" t="s">
        <v>1760</v>
      </c>
      <c r="B841" s="31" t="s">
        <v>1761</v>
      </c>
      <c r="C841" s="31" t="s">
        <v>11</v>
      </c>
      <c r="D841" s="31" t="s">
        <v>12</v>
      </c>
      <c r="E841" s="31">
        <v>2.31481481481481</v>
      </c>
      <c r="F841" s="31">
        <v>0.903245944587621</v>
      </c>
      <c r="G841" s="31">
        <v>108.0</v>
      </c>
      <c r="H841" s="31">
        <v>4.25961538461539</v>
      </c>
      <c r="I841" s="31">
        <v>1.83808253989051</v>
      </c>
      <c r="J841" s="31">
        <v>104.0</v>
      </c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2" t="s">
        <v>1762</v>
      </c>
      <c r="B842" s="4" t="s">
        <v>1763</v>
      </c>
      <c r="C842" s="4" t="s">
        <v>25</v>
      </c>
      <c r="D842" s="4" t="s">
        <v>12</v>
      </c>
      <c r="E842" s="4">
        <v>5.93518518518519</v>
      </c>
      <c r="F842" s="4">
        <v>1.05257271063824</v>
      </c>
      <c r="G842" s="4">
        <v>108.0</v>
      </c>
      <c r="H842" s="4">
        <v>3.72115384615385</v>
      </c>
      <c r="I842" s="4">
        <v>1.71490740087542</v>
      </c>
      <c r="J842" s="4">
        <v>104.0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 t="s">
        <v>1764</v>
      </c>
      <c r="B843" s="4" t="s">
        <v>1765</v>
      </c>
      <c r="C843" s="4" t="s">
        <v>11</v>
      </c>
      <c r="D843" s="4" t="s">
        <v>12</v>
      </c>
      <c r="E843" s="4">
        <v>2.09259259259259</v>
      </c>
      <c r="F843" s="4">
        <v>0.767774268776367</v>
      </c>
      <c r="G843" s="4">
        <v>108.0</v>
      </c>
      <c r="H843" s="4">
        <v>4.05769230769231</v>
      </c>
      <c r="I843" s="4">
        <v>2.04239970735418</v>
      </c>
      <c r="J843" s="4">
        <v>104.0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 t="s">
        <v>1766</v>
      </c>
      <c r="B844" s="4" t="s">
        <v>1767</v>
      </c>
      <c r="C844" s="4" t="s">
        <v>25</v>
      </c>
      <c r="D844" s="4" t="s">
        <v>12</v>
      </c>
      <c r="E844" s="4">
        <v>5.94059405940594</v>
      </c>
      <c r="F844" s="4">
        <v>1.07537697741971</v>
      </c>
      <c r="G844" s="4">
        <v>101.0</v>
      </c>
      <c r="H844" s="4">
        <v>4.66990291262136</v>
      </c>
      <c r="I844" s="4">
        <v>1.83852215542044</v>
      </c>
      <c r="J844" s="4">
        <v>103.0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 t="s">
        <v>1768</v>
      </c>
      <c r="B845" s="4" t="s">
        <v>1769</v>
      </c>
      <c r="C845" s="4" t="s">
        <v>25</v>
      </c>
      <c r="D845" s="4" t="s">
        <v>12</v>
      </c>
      <c r="E845" s="4">
        <v>5.94059405940594</v>
      </c>
      <c r="F845" s="4">
        <v>0.967696049162317</v>
      </c>
      <c r="G845" s="4">
        <v>101.0</v>
      </c>
      <c r="H845" s="4">
        <v>4.3495145631068</v>
      </c>
      <c r="I845" s="4">
        <v>1.64321980595056</v>
      </c>
      <c r="J845" s="4">
        <v>103.0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 t="s">
        <v>1770</v>
      </c>
      <c r="B846" s="4" t="s">
        <v>1771</v>
      </c>
      <c r="C846" s="4" t="s">
        <v>15</v>
      </c>
      <c r="D846" s="4" t="s">
        <v>12</v>
      </c>
      <c r="E846" s="4">
        <v>5.94444444444444</v>
      </c>
      <c r="F846" s="4">
        <v>0.915426802387605</v>
      </c>
      <c r="G846" s="4">
        <v>108.0</v>
      </c>
      <c r="H846" s="4">
        <v>3.00961538461538</v>
      </c>
      <c r="I846" s="4">
        <v>1.66339921185909</v>
      </c>
      <c r="J846" s="4">
        <v>104.0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 t="s">
        <v>1772</v>
      </c>
      <c r="B847" s="4" t="s">
        <v>1773</v>
      </c>
      <c r="C847" s="4" t="s">
        <v>39</v>
      </c>
      <c r="D847" s="4" t="s">
        <v>12</v>
      </c>
      <c r="E847" s="4">
        <v>5.95049504950495</v>
      </c>
      <c r="F847" s="4">
        <v>1.06184968450118</v>
      </c>
      <c r="G847" s="4">
        <v>101.0</v>
      </c>
      <c r="H847" s="4">
        <v>4.30097087378641</v>
      </c>
      <c r="I847" s="4">
        <v>1.87781136399565</v>
      </c>
      <c r="J847" s="4">
        <v>103.0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 t="s">
        <v>1774</v>
      </c>
      <c r="B848" s="4" t="s">
        <v>1775</v>
      </c>
      <c r="C848" s="4" t="s">
        <v>15</v>
      </c>
      <c r="D848" s="4" t="s">
        <v>12</v>
      </c>
      <c r="E848" s="4">
        <v>5.95098039215686</v>
      </c>
      <c r="F848" s="4">
        <v>1.04717867994461</v>
      </c>
      <c r="G848" s="4">
        <v>102.0</v>
      </c>
      <c r="H848" s="4">
        <v>3.45544554455446</v>
      </c>
      <c r="I848" s="4">
        <v>1.79178543623531</v>
      </c>
      <c r="J848" s="4">
        <v>101.0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 t="s">
        <v>1776</v>
      </c>
      <c r="B849" s="4" t="s">
        <v>1777</v>
      </c>
      <c r="C849" s="4" t="s">
        <v>39</v>
      </c>
      <c r="D849" s="4" t="s">
        <v>46</v>
      </c>
      <c r="E849" s="4">
        <v>5.9537037037037</v>
      </c>
      <c r="F849" s="4">
        <v>0.910830567450926</v>
      </c>
      <c r="G849" s="4">
        <v>108.0</v>
      </c>
      <c r="H849" s="4">
        <v>4.31730769230769</v>
      </c>
      <c r="I849" s="4">
        <v>1.72511107326047</v>
      </c>
      <c r="J849" s="4">
        <v>104.0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 t="s">
        <v>1778</v>
      </c>
      <c r="B850" s="4" t="s">
        <v>1779</v>
      </c>
      <c r="C850" s="4" t="s">
        <v>39</v>
      </c>
      <c r="D850" s="4" t="s">
        <v>12</v>
      </c>
      <c r="E850" s="4">
        <v>5.96296296296296</v>
      </c>
      <c r="F850" s="4">
        <v>0.926514177970269</v>
      </c>
      <c r="G850" s="4">
        <v>108.0</v>
      </c>
      <c r="H850" s="4">
        <v>3.22115384615385</v>
      </c>
      <c r="I850" s="4">
        <v>1.96551201743074</v>
      </c>
      <c r="J850" s="4">
        <v>104.0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 t="s">
        <v>1780</v>
      </c>
      <c r="B851" s="4" t="s">
        <v>1781</v>
      </c>
      <c r="C851" s="4" t="s">
        <v>11</v>
      </c>
      <c r="D851" s="4" t="s">
        <v>46</v>
      </c>
      <c r="E851" s="4">
        <v>2.03921568627451</v>
      </c>
      <c r="F851" s="4">
        <v>1.47535240715432</v>
      </c>
      <c r="G851" s="4">
        <v>102.0</v>
      </c>
      <c r="H851" s="4">
        <v>4.43564356435644</v>
      </c>
      <c r="I851" s="4">
        <v>2.14203567469899</v>
      </c>
      <c r="J851" s="4">
        <v>101.0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 t="s">
        <v>1782</v>
      </c>
      <c r="B852" s="4" t="s">
        <v>1783</v>
      </c>
      <c r="C852" s="4" t="s">
        <v>11</v>
      </c>
      <c r="D852" s="4" t="s">
        <v>12</v>
      </c>
      <c r="E852" s="4">
        <v>1.97058823529412</v>
      </c>
      <c r="F852" s="4">
        <v>0.927638141648143</v>
      </c>
      <c r="G852" s="4">
        <v>102.0</v>
      </c>
      <c r="H852" s="4">
        <v>4.7029702970297</v>
      </c>
      <c r="I852" s="4">
        <v>1.93672173765591</v>
      </c>
      <c r="J852" s="4">
        <v>101.0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 t="s">
        <v>1784</v>
      </c>
      <c r="B853" s="4" t="s">
        <v>1785</v>
      </c>
      <c r="C853" s="4" t="s">
        <v>25</v>
      </c>
      <c r="D853" s="4" t="s">
        <v>12</v>
      </c>
      <c r="E853" s="4">
        <v>5.99019607843137</v>
      </c>
      <c r="F853" s="4">
        <v>0.969792241088553</v>
      </c>
      <c r="G853" s="4">
        <v>102.0</v>
      </c>
      <c r="H853" s="4">
        <v>4.04950495049505</v>
      </c>
      <c r="I853" s="4">
        <v>1.67556699432617</v>
      </c>
      <c r="J853" s="4">
        <v>101.0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 t="s">
        <v>1786</v>
      </c>
      <c r="B854" s="4" t="s">
        <v>1787</v>
      </c>
      <c r="C854" s="4" t="s">
        <v>25</v>
      </c>
      <c r="D854" s="4" t="s">
        <v>12</v>
      </c>
      <c r="E854" s="4">
        <v>6.0</v>
      </c>
      <c r="F854" s="4">
        <v>1.11907839251687</v>
      </c>
      <c r="G854" s="4">
        <v>108.0</v>
      </c>
      <c r="H854" s="4">
        <v>4.22115384615385</v>
      </c>
      <c r="I854" s="4">
        <v>1.90021322650871</v>
      </c>
      <c r="J854" s="4">
        <v>104.0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 t="s">
        <v>1788</v>
      </c>
      <c r="B855" s="4" t="s">
        <v>1789</v>
      </c>
      <c r="C855" s="4" t="s">
        <v>11</v>
      </c>
      <c r="D855" s="4" t="s">
        <v>12</v>
      </c>
      <c r="E855" s="4">
        <v>1.97058823529412</v>
      </c>
      <c r="F855" s="4">
        <v>0.999563096170801</v>
      </c>
      <c r="G855" s="4">
        <v>102.0</v>
      </c>
      <c r="H855" s="4">
        <v>4.53465346534653</v>
      </c>
      <c r="I855" s="4">
        <v>1.90559364207401</v>
      </c>
      <c r="J855" s="4">
        <v>101.0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 t="s">
        <v>1790</v>
      </c>
      <c r="B856" s="4" t="s">
        <v>1791</v>
      </c>
      <c r="C856" s="4" t="s">
        <v>39</v>
      </c>
      <c r="D856" s="4" t="s">
        <v>12</v>
      </c>
      <c r="E856" s="4">
        <v>6.00980392156863</v>
      </c>
      <c r="F856" s="4">
        <v>0.999951464556964</v>
      </c>
      <c r="G856" s="4">
        <v>102.0</v>
      </c>
      <c r="H856" s="4">
        <v>4.10891089108911</v>
      </c>
      <c r="I856" s="4">
        <v>1.75442862550182</v>
      </c>
      <c r="J856" s="4">
        <v>101.0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 t="s">
        <v>1792</v>
      </c>
      <c r="B857" s="4" t="s">
        <v>1793</v>
      </c>
      <c r="C857" s="4" t="s">
        <v>11</v>
      </c>
      <c r="D857" s="4" t="s">
        <v>1794</v>
      </c>
      <c r="E857" s="4">
        <v>1.77777777777778</v>
      </c>
      <c r="F857" s="4">
        <v>0.989036473754859</v>
      </c>
      <c r="G857" s="4">
        <v>108.0</v>
      </c>
      <c r="H857" s="4">
        <v>4.51923076923077</v>
      </c>
      <c r="I857" s="4">
        <v>2.13605556648738</v>
      </c>
      <c r="J857" s="4">
        <v>104.0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 t="s">
        <v>1795</v>
      </c>
      <c r="B858" s="4" t="s">
        <v>1796</v>
      </c>
      <c r="C858" s="4" t="s">
        <v>11</v>
      </c>
      <c r="D858" s="4" t="s">
        <v>12</v>
      </c>
      <c r="E858" s="4">
        <v>1.75925925925926</v>
      </c>
      <c r="F858" s="4">
        <v>1.2815759163439</v>
      </c>
      <c r="G858" s="4">
        <v>108.0</v>
      </c>
      <c r="H858" s="4">
        <v>5.0</v>
      </c>
      <c r="I858" s="4">
        <v>2.0</v>
      </c>
      <c r="J858" s="4">
        <v>104.0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 t="s">
        <v>1797</v>
      </c>
      <c r="B859" s="4" t="s">
        <v>1798</v>
      </c>
      <c r="C859" s="4" t="s">
        <v>25</v>
      </c>
      <c r="D859" s="4" t="s">
        <v>12</v>
      </c>
      <c r="E859" s="4">
        <v>6.03703703703704</v>
      </c>
      <c r="F859" s="4">
        <v>0.956296652893371</v>
      </c>
      <c r="G859" s="4">
        <v>108.0</v>
      </c>
      <c r="H859" s="4">
        <v>3.43269230769231</v>
      </c>
      <c r="I859" s="4">
        <v>1.71098349663739</v>
      </c>
      <c r="J859" s="4">
        <v>104.0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0" t="s">
        <v>1799</v>
      </c>
      <c r="B860" s="31" t="s">
        <v>1800</v>
      </c>
      <c r="C860" s="31" t="s">
        <v>11</v>
      </c>
      <c r="D860" s="31" t="s">
        <v>46</v>
      </c>
      <c r="E860" s="31">
        <v>1.67326732673267</v>
      </c>
      <c r="F860" s="31">
        <v>0.906740435748722</v>
      </c>
      <c r="G860" s="31">
        <v>101.0</v>
      </c>
      <c r="H860" s="31">
        <v>4.36893203883495</v>
      </c>
      <c r="I860" s="31">
        <v>2.33048968708521</v>
      </c>
      <c r="J860" s="31">
        <v>103.0</v>
      </c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2" t="s">
        <v>1801</v>
      </c>
      <c r="B861" s="4" t="s">
        <v>1802</v>
      </c>
      <c r="C861" s="4" t="s">
        <v>11</v>
      </c>
      <c r="D861" s="4" t="s">
        <v>46</v>
      </c>
      <c r="E861" s="4">
        <v>1.40196078431373</v>
      </c>
      <c r="F861" s="4">
        <v>0.72110756289113</v>
      </c>
      <c r="G861" s="4">
        <v>102.0</v>
      </c>
      <c r="H861" s="4">
        <v>4.94059405940594</v>
      </c>
      <c r="I861" s="4">
        <v>2.24420044638717</v>
      </c>
      <c r="J861" s="4">
        <v>101.0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 t="s">
        <v>1803</v>
      </c>
      <c r="B862" s="6" t="s">
        <v>1804</v>
      </c>
      <c r="C862" s="6" t="s">
        <v>11</v>
      </c>
      <c r="D862" s="6" t="s">
        <v>46</v>
      </c>
      <c r="E862" s="6">
        <v>1.3921568627451</v>
      </c>
      <c r="F862" s="6">
        <v>0.935090007264065</v>
      </c>
      <c r="G862" s="6">
        <v>102.0</v>
      </c>
      <c r="H862" s="6">
        <v>5.46534653465347</v>
      </c>
      <c r="I862" s="6">
        <v>2.2116254494631</v>
      </c>
      <c r="J862" s="6">
        <v>101.0</v>
      </c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" t="s">
        <v>1805</v>
      </c>
      <c r="B863" s="4" t="s">
        <v>1806</v>
      </c>
      <c r="C863" s="4" t="s">
        <v>39</v>
      </c>
      <c r="D863" s="4" t="s">
        <v>46</v>
      </c>
      <c r="E863" s="4">
        <v>6.05555555555556</v>
      </c>
      <c r="F863" s="4">
        <v>0.965123916631864</v>
      </c>
      <c r="G863" s="4">
        <v>108.0</v>
      </c>
      <c r="H863" s="4">
        <v>3.89423076923077</v>
      </c>
      <c r="I863" s="4">
        <v>1.76766133266676</v>
      </c>
      <c r="J863" s="4">
        <v>104.0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0" t="s">
        <v>1807</v>
      </c>
      <c r="B864" s="31" t="s">
        <v>1808</v>
      </c>
      <c r="C864" s="31" t="s">
        <v>11</v>
      </c>
      <c r="D864" s="31" t="s">
        <v>12</v>
      </c>
      <c r="E864" s="31">
        <v>1.3921568627451</v>
      </c>
      <c r="F864" s="31">
        <v>0.88055858447636</v>
      </c>
      <c r="G864" s="31">
        <v>102.0</v>
      </c>
      <c r="H864" s="31">
        <v>5.01980198019802</v>
      </c>
      <c r="I864" s="31">
        <v>2.06872036785933</v>
      </c>
      <c r="J864" s="31">
        <v>101.0</v>
      </c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2" t="s">
        <v>1809</v>
      </c>
      <c r="B865" s="4" t="s">
        <v>1810</v>
      </c>
      <c r="C865" s="4" t="s">
        <v>39</v>
      </c>
      <c r="D865" s="4" t="s">
        <v>12</v>
      </c>
      <c r="E865" s="4">
        <v>6.06481481481481</v>
      </c>
      <c r="F865" s="4">
        <v>1.03466232830342</v>
      </c>
      <c r="G865" s="4">
        <v>108.0</v>
      </c>
      <c r="H865" s="4">
        <v>4.5</v>
      </c>
      <c r="I865" s="4">
        <v>2.04322227903706</v>
      </c>
      <c r="J865" s="4">
        <v>104.0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 t="s">
        <v>1811</v>
      </c>
      <c r="B866" s="4" t="s">
        <v>1812</v>
      </c>
      <c r="C866" s="4" t="s">
        <v>39</v>
      </c>
      <c r="D866" s="4" t="s">
        <v>12</v>
      </c>
      <c r="E866" s="4">
        <v>6.06862745098039</v>
      </c>
      <c r="F866" s="4">
        <v>0.967387048402655</v>
      </c>
      <c r="G866" s="4">
        <v>102.0</v>
      </c>
      <c r="H866" s="4">
        <v>4.30693069306931</v>
      </c>
      <c r="I866" s="4">
        <v>1.6837017209555</v>
      </c>
      <c r="J866" s="4">
        <v>101.0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 t="s">
        <v>1813</v>
      </c>
      <c r="B867" s="4" t="s">
        <v>1814</v>
      </c>
      <c r="C867" s="4" t="s">
        <v>39</v>
      </c>
      <c r="D867" s="4" t="s">
        <v>12</v>
      </c>
      <c r="E867" s="4">
        <v>6.06862745098039</v>
      </c>
      <c r="F867" s="4">
        <v>1.03655755402358</v>
      </c>
      <c r="G867" s="4">
        <v>102.0</v>
      </c>
      <c r="H867" s="4">
        <v>3.77227722772277</v>
      </c>
      <c r="I867" s="4">
        <v>1.86483880332222</v>
      </c>
      <c r="J867" s="4">
        <v>101.0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 t="s">
        <v>1815</v>
      </c>
      <c r="B868" s="4" t="s">
        <v>1816</v>
      </c>
      <c r="C868" s="4" t="s">
        <v>11</v>
      </c>
      <c r="D868" s="4" t="s">
        <v>46</v>
      </c>
      <c r="E868" s="4">
        <v>1.34313725490196</v>
      </c>
      <c r="F868" s="4">
        <v>0.895479273623583</v>
      </c>
      <c r="G868" s="4">
        <v>102.0</v>
      </c>
      <c r="H868" s="4">
        <v>4.7029702970297</v>
      </c>
      <c r="I868" s="4">
        <v>2.20700953534617</v>
      </c>
      <c r="J868" s="4">
        <v>101.0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 t="s">
        <v>1817</v>
      </c>
      <c r="B869" s="4" t="s">
        <v>1818</v>
      </c>
      <c r="C869" s="4" t="s">
        <v>39</v>
      </c>
      <c r="D869" s="4" t="s">
        <v>46</v>
      </c>
      <c r="E869" s="4">
        <v>6.08823529411765</v>
      </c>
      <c r="F869" s="4">
        <v>0.996060966527161</v>
      </c>
      <c r="G869" s="4">
        <v>102.0</v>
      </c>
      <c r="H869" s="4">
        <v>4.63366336633663</v>
      </c>
      <c r="I869" s="4">
        <v>1.7071776256572</v>
      </c>
      <c r="J869" s="4">
        <v>101.0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 t="s">
        <v>1819</v>
      </c>
      <c r="B870" s="4" t="s">
        <v>1820</v>
      </c>
      <c r="C870" s="4" t="s">
        <v>39</v>
      </c>
      <c r="D870" s="4" t="s">
        <v>1644</v>
      </c>
      <c r="E870" s="4">
        <v>6.09259259259259</v>
      </c>
      <c r="F870" s="4">
        <v>1.02799175454925</v>
      </c>
      <c r="G870" s="4">
        <v>108.0</v>
      </c>
      <c r="H870" s="4">
        <v>3.58653846153846</v>
      </c>
      <c r="I870" s="4">
        <v>1.94891344845642</v>
      </c>
      <c r="J870" s="4">
        <v>104.0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 t="s">
        <v>1821</v>
      </c>
      <c r="B871" s="4" t="s">
        <v>1822</v>
      </c>
      <c r="C871" s="4" t="s">
        <v>11</v>
      </c>
      <c r="D871" s="4" t="s">
        <v>46</v>
      </c>
      <c r="E871" s="4">
        <v>1.32352941176471</v>
      </c>
      <c r="F871" s="4">
        <v>0.810350916601736</v>
      </c>
      <c r="G871" s="4">
        <v>102.0</v>
      </c>
      <c r="H871" s="4">
        <v>5.12871287128713</v>
      </c>
      <c r="I871" s="4">
        <v>2.15714332549617</v>
      </c>
      <c r="J871" s="4">
        <v>101.0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 t="s">
        <v>1823</v>
      </c>
      <c r="B872" s="4" t="s">
        <v>1824</v>
      </c>
      <c r="C872" s="4" t="s">
        <v>39</v>
      </c>
      <c r="D872" s="4" t="s">
        <v>46</v>
      </c>
      <c r="E872" s="4">
        <v>6.1078431372549</v>
      </c>
      <c r="F872" s="4">
        <v>0.984099958147395</v>
      </c>
      <c r="G872" s="4">
        <v>102.0</v>
      </c>
      <c r="H872" s="4">
        <v>4.78217821782178</v>
      </c>
      <c r="I872" s="4">
        <v>1.59752283486678</v>
      </c>
      <c r="J872" s="4">
        <v>101.0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 t="s">
        <v>1825</v>
      </c>
      <c r="B873" s="4" t="s">
        <v>1826</v>
      </c>
      <c r="C873" s="4" t="s">
        <v>39</v>
      </c>
      <c r="D873" s="4" t="s">
        <v>12</v>
      </c>
      <c r="E873" s="4">
        <v>6.1078431372549</v>
      </c>
      <c r="F873" s="4">
        <v>0.994110007908443</v>
      </c>
      <c r="G873" s="4">
        <v>102.0</v>
      </c>
      <c r="H873" s="4">
        <v>4.31683168316832</v>
      </c>
      <c r="I873" s="4">
        <v>1.83265213867393</v>
      </c>
      <c r="J873" s="4">
        <v>101.0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 t="s">
        <v>1827</v>
      </c>
      <c r="B874" s="4" t="s">
        <v>1828</v>
      </c>
      <c r="C874" s="4" t="s">
        <v>11</v>
      </c>
      <c r="D874" s="4" t="s">
        <v>46</v>
      </c>
      <c r="E874" s="4">
        <v>1.25490196078431</v>
      </c>
      <c r="F874" s="4">
        <v>0.713189385229504</v>
      </c>
      <c r="G874" s="4">
        <v>102.0</v>
      </c>
      <c r="H874" s="4">
        <v>4.98019801980198</v>
      </c>
      <c r="I874" s="4">
        <v>2.10703677243565</v>
      </c>
      <c r="J874" s="4">
        <v>101.0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 t="s">
        <v>1829</v>
      </c>
      <c r="B875" s="4" t="s">
        <v>1830</v>
      </c>
      <c r="C875" s="4" t="s">
        <v>39</v>
      </c>
      <c r="D875" s="4" t="s">
        <v>1644</v>
      </c>
      <c r="E875" s="4">
        <v>6.10891089108911</v>
      </c>
      <c r="F875" s="4">
        <v>0.926293583039523</v>
      </c>
      <c r="G875" s="4">
        <v>101.0</v>
      </c>
      <c r="H875" s="4">
        <v>4.29126213592233</v>
      </c>
      <c r="I875" s="4">
        <v>1.76363632795362</v>
      </c>
      <c r="J875" s="4">
        <v>103.0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 t="s">
        <v>1831</v>
      </c>
      <c r="B876" s="4" t="s">
        <v>1832</v>
      </c>
      <c r="C876" s="4" t="s">
        <v>39</v>
      </c>
      <c r="D876" s="4" t="s">
        <v>12</v>
      </c>
      <c r="E876" s="4">
        <v>6.11881188118812</v>
      </c>
      <c r="F876" s="4">
        <v>0.972492968744466</v>
      </c>
      <c r="G876" s="4">
        <v>101.0</v>
      </c>
      <c r="H876" s="4">
        <v>4.42718446601942</v>
      </c>
      <c r="I876" s="4">
        <v>1.7523202643284</v>
      </c>
      <c r="J876" s="4">
        <v>103.0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 t="s">
        <v>1833</v>
      </c>
      <c r="B877" s="4" t="s">
        <v>1834</v>
      </c>
      <c r="C877" s="4" t="s">
        <v>39</v>
      </c>
      <c r="D877" s="4" t="s">
        <v>12</v>
      </c>
      <c r="E877" s="4">
        <v>6.12037037037037</v>
      </c>
      <c r="F877" s="4">
        <v>0.983200881658128</v>
      </c>
      <c r="G877" s="4">
        <v>108.0</v>
      </c>
      <c r="H877" s="4">
        <v>3.71153846153846</v>
      </c>
      <c r="I877" s="4">
        <v>1.91404150731123</v>
      </c>
      <c r="J877" s="4">
        <v>104.0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0" t="s">
        <v>1835</v>
      </c>
      <c r="B878" s="31" t="s">
        <v>1836</v>
      </c>
      <c r="C878" s="31" t="s">
        <v>11</v>
      </c>
      <c r="D878" s="31" t="s">
        <v>46</v>
      </c>
      <c r="E878" s="31">
        <v>1.24752475247525</v>
      </c>
      <c r="F878" s="31">
        <v>0.698655002044062</v>
      </c>
      <c r="G878" s="31">
        <v>101.0</v>
      </c>
      <c r="H878" s="31">
        <v>4.47572815533981</v>
      </c>
      <c r="I878" s="31">
        <v>2.37158282626742</v>
      </c>
      <c r="J878" s="31">
        <v>103.0</v>
      </c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2" t="s">
        <v>1837</v>
      </c>
      <c r="B879" s="4" t="s">
        <v>1838</v>
      </c>
      <c r="C879" s="4" t="s">
        <v>39</v>
      </c>
      <c r="D879" s="4" t="s">
        <v>1644</v>
      </c>
      <c r="E879" s="4">
        <v>6.14705882352941</v>
      </c>
      <c r="F879" s="4">
        <v>1.00884267408749</v>
      </c>
      <c r="G879" s="4">
        <v>102.0</v>
      </c>
      <c r="H879" s="4">
        <v>3.81188118811881</v>
      </c>
      <c r="I879" s="4">
        <v>1.87463527805879</v>
      </c>
      <c r="J879" s="4">
        <v>101.0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 t="s">
        <v>1839</v>
      </c>
      <c r="B880" s="4" t="s">
        <v>1840</v>
      </c>
      <c r="C880" s="4" t="s">
        <v>39</v>
      </c>
      <c r="D880" s="4" t="s">
        <v>12</v>
      </c>
      <c r="E880" s="4">
        <v>6.15740740740741</v>
      </c>
      <c r="F880" s="4">
        <v>0.88773614246363</v>
      </c>
      <c r="G880" s="4">
        <v>108.0</v>
      </c>
      <c r="H880" s="4">
        <v>4.42307692307692</v>
      </c>
      <c r="I880" s="4">
        <v>1.77737838846233</v>
      </c>
      <c r="J880" s="4">
        <v>104.0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 t="s">
        <v>1841</v>
      </c>
      <c r="B881" s="4" t="s">
        <v>1842</v>
      </c>
      <c r="C881" s="4" t="s">
        <v>39</v>
      </c>
      <c r="D881" s="4" t="s">
        <v>1644</v>
      </c>
      <c r="E881" s="4">
        <v>6.16666666666667</v>
      </c>
      <c r="F881" s="4">
        <v>0.98113037993424</v>
      </c>
      <c r="G881" s="4">
        <v>108.0</v>
      </c>
      <c r="H881" s="4">
        <v>3.72115384615385</v>
      </c>
      <c r="I881" s="4">
        <v>1.98761569007728</v>
      </c>
      <c r="J881" s="4">
        <v>104.0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0" t="s">
        <v>1843</v>
      </c>
      <c r="B882" s="31" t="s">
        <v>1844</v>
      </c>
      <c r="C882" s="31" t="s">
        <v>11</v>
      </c>
      <c r="D882" s="31" t="s">
        <v>46</v>
      </c>
      <c r="E882" s="31">
        <v>1.1980198019802</v>
      </c>
      <c r="F882" s="31">
        <v>0.735116344263927</v>
      </c>
      <c r="G882" s="31">
        <v>101.0</v>
      </c>
      <c r="H882" s="31">
        <v>4.51456310679612</v>
      </c>
      <c r="I882" s="31">
        <v>2.48471435873581</v>
      </c>
      <c r="J882" s="31">
        <v>103.0</v>
      </c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2" t="s">
        <v>1845</v>
      </c>
      <c r="B883" s="4" t="s">
        <v>1846</v>
      </c>
      <c r="C883" s="4" t="s">
        <v>25</v>
      </c>
      <c r="D883" s="4" t="s">
        <v>12</v>
      </c>
      <c r="E883" s="4">
        <v>6.19607843137255</v>
      </c>
      <c r="F883" s="4">
        <v>0.844776796184514</v>
      </c>
      <c r="G883" s="4">
        <v>102.0</v>
      </c>
      <c r="H883" s="4">
        <v>4.88118811881188</v>
      </c>
      <c r="I883" s="4">
        <v>1.51186724756422</v>
      </c>
      <c r="J883" s="4">
        <v>101.0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 t="s">
        <v>1847</v>
      </c>
      <c r="B884" s="6" t="s">
        <v>1848</v>
      </c>
      <c r="C884" s="6" t="s">
        <v>11</v>
      </c>
      <c r="D884" s="6" t="s">
        <v>46</v>
      </c>
      <c r="E884" s="6">
        <v>1.1078431372549</v>
      </c>
      <c r="F884" s="6">
        <v>0.419968474656029</v>
      </c>
      <c r="G884" s="6">
        <v>102.0</v>
      </c>
      <c r="H884" s="6">
        <v>5.14851485148515</v>
      </c>
      <c r="I884" s="6">
        <v>2.34258890381501</v>
      </c>
      <c r="J884" s="6">
        <v>101.0</v>
      </c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" t="s">
        <v>1849</v>
      </c>
      <c r="B885" s="4" t="s">
        <v>1850</v>
      </c>
      <c r="C885" s="4" t="s">
        <v>25</v>
      </c>
      <c r="D885" s="4" t="s">
        <v>12</v>
      </c>
      <c r="E885" s="4">
        <v>6.2037037037037</v>
      </c>
      <c r="F885" s="4">
        <v>0.954666446219598</v>
      </c>
      <c r="G885" s="4">
        <v>108.0</v>
      </c>
      <c r="H885" s="4">
        <v>3.96116504854369</v>
      </c>
      <c r="I885" s="4">
        <v>1.85727150758419</v>
      </c>
      <c r="J885" s="4">
        <v>103.0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 t="s">
        <v>1851</v>
      </c>
      <c r="B886" s="4" t="s">
        <v>1852</v>
      </c>
      <c r="C886" s="4" t="s">
        <v>39</v>
      </c>
      <c r="D886" s="4" t="s">
        <v>1644</v>
      </c>
      <c r="E886" s="4">
        <v>6.20588235294118</v>
      </c>
      <c r="F886" s="4">
        <v>0.915631419793587</v>
      </c>
      <c r="G886" s="4">
        <v>102.0</v>
      </c>
      <c r="H886" s="4">
        <v>3.96039603960396</v>
      </c>
      <c r="I886" s="4">
        <v>1.85968165060156</v>
      </c>
      <c r="J886" s="4">
        <v>101.0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 t="s">
        <v>1853</v>
      </c>
      <c r="B887" s="4" t="s">
        <v>1854</v>
      </c>
      <c r="C887" s="4" t="s">
        <v>25</v>
      </c>
      <c r="D887" s="4" t="s">
        <v>12</v>
      </c>
      <c r="E887" s="4">
        <v>6.20792079207921</v>
      </c>
      <c r="F887" s="4">
        <v>0.875406553358705</v>
      </c>
      <c r="G887" s="4">
        <v>101.0</v>
      </c>
      <c r="H887" s="4">
        <v>4.6504854368932</v>
      </c>
      <c r="I887" s="4">
        <v>1.73605783914715</v>
      </c>
      <c r="J887" s="4">
        <v>103.0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 t="s">
        <v>1855</v>
      </c>
      <c r="B888" s="4" t="s">
        <v>1856</v>
      </c>
      <c r="C888" s="4" t="s">
        <v>25</v>
      </c>
      <c r="D888" s="4" t="s">
        <v>12</v>
      </c>
      <c r="E888" s="4">
        <v>6.2156862745098</v>
      </c>
      <c r="F888" s="4">
        <v>0.991323257868958</v>
      </c>
      <c r="G888" s="4">
        <v>102.0</v>
      </c>
      <c r="H888" s="4">
        <v>4.86138613861386</v>
      </c>
      <c r="I888" s="4">
        <v>1.78902041894606</v>
      </c>
      <c r="J888" s="4">
        <v>101.0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 t="s">
        <v>1857</v>
      </c>
      <c r="B889" s="4" t="s">
        <v>1858</v>
      </c>
      <c r="C889" s="4" t="s">
        <v>39</v>
      </c>
      <c r="D889" s="4" t="s">
        <v>46</v>
      </c>
      <c r="E889" s="4">
        <v>6.23148148148148</v>
      </c>
      <c r="F889" s="4">
        <v>0.991614198809208</v>
      </c>
      <c r="G889" s="4">
        <v>108.0</v>
      </c>
      <c r="H889" s="4">
        <v>4.05769230769231</v>
      </c>
      <c r="I889" s="4">
        <v>1.78900049697944</v>
      </c>
      <c r="J889" s="4">
        <v>104.0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 t="s">
        <v>1859</v>
      </c>
      <c r="B890" s="4" t="s">
        <v>1860</v>
      </c>
      <c r="C890" s="4" t="s">
        <v>39</v>
      </c>
      <c r="D890" s="4" t="s">
        <v>1644</v>
      </c>
      <c r="E890" s="4">
        <v>6.24752475247525</v>
      </c>
      <c r="F890" s="4">
        <v>0.920933663127366</v>
      </c>
      <c r="G890" s="4">
        <v>101.0</v>
      </c>
      <c r="H890" s="4">
        <v>4.63106796116505</v>
      </c>
      <c r="I890" s="4">
        <v>1.74889484017841</v>
      </c>
      <c r="J890" s="4">
        <v>103.0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 t="s">
        <v>1861</v>
      </c>
      <c r="B891" s="4" t="s">
        <v>1862</v>
      </c>
      <c r="C891" s="4" t="s">
        <v>39</v>
      </c>
      <c r="D891" s="4" t="s">
        <v>12</v>
      </c>
      <c r="E891" s="4">
        <v>6.25490196078431</v>
      </c>
      <c r="F891" s="4">
        <v>0.897590553746158</v>
      </c>
      <c r="G891" s="4">
        <v>102.0</v>
      </c>
      <c r="H891" s="4">
        <v>3.97029702970297</v>
      </c>
      <c r="I891" s="4">
        <v>1.96191460336353</v>
      </c>
      <c r="J891" s="4">
        <v>101.0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 t="s">
        <v>1863</v>
      </c>
      <c r="B892" s="4" t="s">
        <v>1864</v>
      </c>
      <c r="C892" s="4" t="s">
        <v>39</v>
      </c>
      <c r="D892" s="4" t="s">
        <v>12</v>
      </c>
      <c r="E892" s="4">
        <v>6.25742574257426</v>
      </c>
      <c r="F892" s="4">
        <v>0.95554660112979</v>
      </c>
      <c r="G892" s="4">
        <v>101.0</v>
      </c>
      <c r="H892" s="4">
        <v>4.90291262135922</v>
      </c>
      <c r="I892" s="4">
        <v>1.70071820530585</v>
      </c>
      <c r="J892" s="4">
        <v>103.0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 t="s">
        <v>1865</v>
      </c>
      <c r="B893" s="4" t="s">
        <v>1866</v>
      </c>
      <c r="C893" s="4" t="s">
        <v>39</v>
      </c>
      <c r="D893" s="4" t="s">
        <v>12</v>
      </c>
      <c r="E893" s="4">
        <v>6.27450980392157</v>
      </c>
      <c r="F893" s="4">
        <v>0.902766515269065</v>
      </c>
      <c r="G893" s="4">
        <v>102.0</v>
      </c>
      <c r="H893" s="4">
        <v>4.98019801980198</v>
      </c>
      <c r="I893" s="4">
        <v>1.74344600157161</v>
      </c>
      <c r="J893" s="4">
        <v>101.0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 t="s">
        <v>1867</v>
      </c>
      <c r="B894" s="4" t="s">
        <v>1868</v>
      </c>
      <c r="C894" s="4" t="s">
        <v>25</v>
      </c>
      <c r="D894" s="4" t="s">
        <v>46</v>
      </c>
      <c r="E894" s="4">
        <v>6.28712871287129</v>
      </c>
      <c r="F894" s="4">
        <v>0.778930467543366</v>
      </c>
      <c r="G894" s="4">
        <v>101.0</v>
      </c>
      <c r="H894" s="4">
        <v>4.40776699029126</v>
      </c>
      <c r="I894" s="4">
        <v>1.62358169298672</v>
      </c>
      <c r="J894" s="4">
        <v>103.0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 t="s">
        <v>1869</v>
      </c>
      <c r="B895" s="4" t="s">
        <v>1870</v>
      </c>
      <c r="C895" s="4" t="s">
        <v>39</v>
      </c>
      <c r="D895" s="4" t="s">
        <v>1644</v>
      </c>
      <c r="E895" s="4">
        <v>6.31372549019608</v>
      </c>
      <c r="F895" s="4">
        <v>0.943769481806527</v>
      </c>
      <c r="G895" s="4">
        <v>102.0</v>
      </c>
      <c r="H895" s="4">
        <v>4.66336633663366</v>
      </c>
      <c r="I895" s="4">
        <v>1.64485396143714</v>
      </c>
      <c r="J895" s="4">
        <v>101.0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 t="s">
        <v>1871</v>
      </c>
      <c r="B896" s="4" t="s">
        <v>1872</v>
      </c>
      <c r="C896" s="4" t="s">
        <v>39</v>
      </c>
      <c r="D896" s="4" t="s">
        <v>12</v>
      </c>
      <c r="E896" s="4">
        <v>6.32352941176471</v>
      </c>
      <c r="F896" s="4">
        <v>0.935141909132241</v>
      </c>
      <c r="G896" s="4">
        <v>102.0</v>
      </c>
      <c r="H896" s="4">
        <v>4.13861386138614</v>
      </c>
      <c r="I896" s="4">
        <v>1.86563502845705</v>
      </c>
      <c r="J896" s="4">
        <v>101.0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 t="s">
        <v>1873</v>
      </c>
      <c r="B897" s="4" t="s">
        <v>1874</v>
      </c>
      <c r="C897" s="4" t="s">
        <v>39</v>
      </c>
      <c r="D897" s="4" t="s">
        <v>12</v>
      </c>
      <c r="E897" s="4">
        <v>6.36633663366337</v>
      </c>
      <c r="F897" s="4">
        <v>0.845254663130914</v>
      </c>
      <c r="G897" s="4">
        <v>101.0</v>
      </c>
      <c r="H897" s="4">
        <v>4.7378640776699</v>
      </c>
      <c r="I897" s="4">
        <v>1.69173982290505</v>
      </c>
      <c r="J897" s="4">
        <v>103.0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 t="s">
        <v>1875</v>
      </c>
      <c r="B898" s="4" t="s">
        <v>1876</v>
      </c>
      <c r="C898" s="4" t="s">
        <v>39</v>
      </c>
      <c r="D898" s="4" t="s">
        <v>1644</v>
      </c>
      <c r="E898" s="4">
        <v>6.37623762376238</v>
      </c>
      <c r="F898" s="4">
        <v>0.870074538743835</v>
      </c>
      <c r="G898" s="4">
        <v>101.0</v>
      </c>
      <c r="H898" s="4">
        <v>4.72815533980583</v>
      </c>
      <c r="I898" s="4">
        <v>1.76120599699986</v>
      </c>
      <c r="J898" s="4">
        <v>103.0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 t="s">
        <v>1877</v>
      </c>
      <c r="B899" s="4" t="s">
        <v>1878</v>
      </c>
      <c r="C899" s="4" t="s">
        <v>39</v>
      </c>
      <c r="D899" s="4" t="s">
        <v>12</v>
      </c>
      <c r="E899" s="4">
        <v>6.3921568627451</v>
      </c>
      <c r="F899" s="4">
        <v>0.869241876865692</v>
      </c>
      <c r="G899" s="4">
        <v>102.0</v>
      </c>
      <c r="H899" s="4">
        <v>3.89108910891089</v>
      </c>
      <c r="I899" s="4">
        <v>2.02435663902885</v>
      </c>
      <c r="J899" s="4">
        <v>101.0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 t="s">
        <v>1879</v>
      </c>
      <c r="B900" s="4" t="s">
        <v>1880</v>
      </c>
      <c r="C900" s="4" t="s">
        <v>39</v>
      </c>
      <c r="D900" s="4" t="s">
        <v>1644</v>
      </c>
      <c r="E900" s="4">
        <v>6.41176470588235</v>
      </c>
      <c r="F900" s="4">
        <v>0.824776491493429</v>
      </c>
      <c r="G900" s="4">
        <v>102.0</v>
      </c>
      <c r="H900" s="4">
        <v>4.10891089108911</v>
      </c>
      <c r="I900" s="4">
        <v>1.91781641508779</v>
      </c>
      <c r="J900" s="4">
        <v>101.0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 t="s">
        <v>1881</v>
      </c>
      <c r="B901" s="4" t="s">
        <v>1882</v>
      </c>
      <c r="C901" s="4" t="s">
        <v>25</v>
      </c>
      <c r="D901" s="4" t="s">
        <v>12</v>
      </c>
      <c r="E901" s="4">
        <v>6.49019607843137</v>
      </c>
      <c r="F901" s="4">
        <v>0.780265225778214</v>
      </c>
      <c r="G901" s="4">
        <v>102.0</v>
      </c>
      <c r="H901" s="4">
        <v>5.02970297029703</v>
      </c>
      <c r="I901" s="4">
        <v>1.72311024339451</v>
      </c>
      <c r="J901" s="4">
        <v>101.0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1000">
    <sortState ref="A1:Z1000">
      <sortCondition descending="1" ref="E1:E1000"/>
      <sortCondition descending="1" ref="H1:H1000"/>
    </sortState>
  </autoFilter>
  <hyperlinks>
    <hyperlink r:id="rId1" ref="D231"/>
    <hyperlink r:id="rId2" ref="D242"/>
    <hyperlink r:id="rId3" ref="D478"/>
    <hyperlink r:id="rId4" ref="D63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10.75"/>
    <col customWidth="1" min="4" max="4" width="19.0"/>
    <col customWidth="1" min="5" max="6" width="20.63"/>
    <col customWidth="1" min="7" max="8" width="20.38"/>
    <col customWidth="1" min="9" max="10" width="22.13"/>
  </cols>
  <sheetData>
    <row r="1">
      <c r="A1" s="33"/>
      <c r="B1" s="33"/>
      <c r="C1" s="3"/>
      <c r="D1" s="33"/>
      <c r="E1" s="33"/>
      <c r="F1" s="3"/>
      <c r="G1" s="33"/>
      <c r="H1" s="33"/>
      <c r="I1" s="33"/>
      <c r="J1" s="3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33" t="s">
        <v>1883</v>
      </c>
      <c r="B2" s="33">
        <v>48.0</v>
      </c>
      <c r="C2" s="3"/>
      <c r="D2" s="33" t="s">
        <v>1884</v>
      </c>
      <c r="E2" s="33">
        <f>72-48</f>
        <v>24</v>
      </c>
      <c r="F2" s="3"/>
      <c r="G2" s="3"/>
      <c r="H2" s="33" t="s">
        <v>1883</v>
      </c>
      <c r="I2" s="33" t="s">
        <v>1884</v>
      </c>
      <c r="J2" s="33" t="s">
        <v>1885</v>
      </c>
      <c r="K2" s="3"/>
      <c r="L2" s="3"/>
      <c r="M2" s="3"/>
      <c r="N2" s="3"/>
      <c r="O2" s="3"/>
      <c r="P2" s="3"/>
      <c r="Q2" s="3"/>
      <c r="R2" s="3"/>
      <c r="Y2" s="3"/>
      <c r="Z2" s="3"/>
      <c r="AA2" s="3"/>
      <c r="AB2" s="3"/>
      <c r="AC2" s="3"/>
      <c r="AD2" s="3"/>
    </row>
    <row r="3">
      <c r="A3" s="34" t="s">
        <v>1886</v>
      </c>
      <c r="B3" s="3">
        <f t="shared" ref="B3:B4" si="1">48/4</f>
        <v>12</v>
      </c>
      <c r="C3" s="3"/>
      <c r="D3" s="34" t="s">
        <v>1886</v>
      </c>
      <c r="E3" s="3">
        <f t="shared" ref="E3:E4" si="2">24/4</f>
        <v>6</v>
      </c>
      <c r="F3" s="3"/>
      <c r="G3" s="33" t="s">
        <v>1886</v>
      </c>
      <c r="H3" s="3">
        <f t="shared" ref="H3:H4" si="3">48/4</f>
        <v>12</v>
      </c>
      <c r="I3" s="3">
        <f t="shared" ref="I3:I4" si="4">24/4</f>
        <v>6</v>
      </c>
      <c r="J3" s="3">
        <f>J10/4</f>
        <v>18</v>
      </c>
      <c r="K3" s="3"/>
      <c r="L3" s="3"/>
      <c r="M3" s="34" t="s">
        <v>1887</v>
      </c>
      <c r="N3" s="3">
        <v>1.1980198019802</v>
      </c>
      <c r="O3" s="3"/>
      <c r="P3" s="34" t="s">
        <v>1888</v>
      </c>
      <c r="Q3" s="3">
        <v>2.20388349514563</v>
      </c>
      <c r="R3" s="3"/>
      <c r="S3" s="35" t="s">
        <v>1889</v>
      </c>
      <c r="T3" s="36"/>
      <c r="U3" s="37"/>
      <c r="V3" s="35" t="s">
        <v>1890</v>
      </c>
      <c r="W3" s="36"/>
      <c r="X3" s="37"/>
      <c r="Y3" s="3"/>
      <c r="Z3" s="3"/>
      <c r="AA3" s="3"/>
      <c r="AB3" s="3"/>
      <c r="AC3" s="3"/>
      <c r="AD3" s="3"/>
    </row>
    <row r="4">
      <c r="A4" s="34" t="s">
        <v>1891</v>
      </c>
      <c r="B4" s="3">
        <f t="shared" si="1"/>
        <v>12</v>
      </c>
      <c r="C4" s="3"/>
      <c r="D4" s="34" t="s">
        <v>1891</v>
      </c>
      <c r="E4" s="3">
        <f t="shared" si="2"/>
        <v>6</v>
      </c>
      <c r="F4" s="3"/>
      <c r="G4" s="33" t="s">
        <v>1891</v>
      </c>
      <c r="H4" s="3">
        <f t="shared" si="3"/>
        <v>12</v>
      </c>
      <c r="I4" s="3">
        <f t="shared" si="4"/>
        <v>6</v>
      </c>
      <c r="J4" s="34">
        <v>18.0</v>
      </c>
      <c r="K4" s="3"/>
      <c r="L4" s="3"/>
      <c r="M4" s="34" t="s">
        <v>1892</v>
      </c>
      <c r="N4" s="3">
        <v>5.22549019607843</v>
      </c>
      <c r="O4" s="3"/>
      <c r="P4" s="34" t="s">
        <v>1893</v>
      </c>
      <c r="Q4" s="3">
        <v>5.14851485148515</v>
      </c>
      <c r="R4" s="3"/>
      <c r="S4" s="38" t="s">
        <v>1894</v>
      </c>
      <c r="T4" s="38" t="s">
        <v>1895</v>
      </c>
      <c r="U4" s="38" t="s">
        <v>1896</v>
      </c>
      <c r="V4" s="38" t="s">
        <v>1894</v>
      </c>
      <c r="W4" s="38" t="s">
        <v>1895</v>
      </c>
      <c r="X4" s="38" t="s">
        <v>1896</v>
      </c>
      <c r="Y4" s="3"/>
      <c r="Z4" s="3"/>
      <c r="AA4" s="3"/>
      <c r="AB4" s="3"/>
      <c r="AC4" s="3"/>
      <c r="AD4" s="3"/>
    </row>
    <row r="5">
      <c r="A5" s="34"/>
      <c r="B5" s="3"/>
      <c r="C5" s="3"/>
      <c r="D5" s="34"/>
      <c r="E5" s="3"/>
      <c r="F5" s="3"/>
      <c r="G5" s="33"/>
      <c r="H5" s="3"/>
      <c r="I5" s="3"/>
      <c r="J5" s="34"/>
      <c r="K5" s="3"/>
      <c r="L5" s="3"/>
      <c r="M5" s="34"/>
      <c r="N5" s="3"/>
      <c r="O5" s="3"/>
      <c r="P5" s="34"/>
      <c r="Q5" s="3"/>
      <c r="R5" s="3"/>
      <c r="S5" s="35" t="s">
        <v>1897</v>
      </c>
      <c r="T5" s="36"/>
      <c r="U5" s="36"/>
      <c r="V5" s="36"/>
      <c r="W5" s="36"/>
      <c r="X5" s="37"/>
      <c r="Y5" s="3"/>
      <c r="Z5" s="3"/>
      <c r="AA5" s="3"/>
      <c r="AB5" s="3"/>
      <c r="AC5" s="3"/>
      <c r="AD5" s="3"/>
    </row>
    <row r="6">
      <c r="A6" s="34" t="s">
        <v>1898</v>
      </c>
      <c r="B6" s="3">
        <f t="shared" ref="B6:B7" si="5">48/4</f>
        <v>12</v>
      </c>
      <c r="C6" s="3"/>
      <c r="D6" s="34" t="s">
        <v>1898</v>
      </c>
      <c r="E6" s="3">
        <f t="shared" ref="E6:E7" si="6">24/4</f>
        <v>6</v>
      </c>
      <c r="F6" s="3"/>
      <c r="G6" s="33" t="s">
        <v>1898</v>
      </c>
      <c r="H6" s="3">
        <f t="shared" ref="H6:H7" si="7">48/4</f>
        <v>12</v>
      </c>
      <c r="I6" s="3">
        <f t="shared" ref="I6:I7" si="8">24/4</f>
        <v>6</v>
      </c>
      <c r="J6" s="34">
        <v>18.0</v>
      </c>
      <c r="K6" s="3"/>
      <c r="L6" s="3"/>
      <c r="M6" s="34" t="s">
        <v>1899</v>
      </c>
      <c r="N6" s="3">
        <v>3.4580549353955004</v>
      </c>
      <c r="O6" s="3"/>
      <c r="P6" s="34" t="s">
        <v>1900</v>
      </c>
      <c r="Q6" s="3">
        <v>3.7924764598845986</v>
      </c>
      <c r="R6" s="3"/>
      <c r="S6" s="39">
        <v>1.1980198019802</v>
      </c>
      <c r="T6" s="39">
        <v>3.4580549353955004</v>
      </c>
      <c r="U6" s="39">
        <v>5.22549019607843</v>
      </c>
      <c r="V6" s="39">
        <v>2.20388349514563</v>
      </c>
      <c r="W6" s="39">
        <v>3.7924764598845986</v>
      </c>
      <c r="X6" s="39">
        <v>5.14851485148515</v>
      </c>
      <c r="Y6" s="3"/>
      <c r="Z6" s="3"/>
      <c r="AA6" s="3"/>
      <c r="AB6" s="3"/>
      <c r="AC6" s="3"/>
      <c r="AD6" s="3"/>
    </row>
    <row r="7">
      <c r="A7" s="34" t="s">
        <v>1901</v>
      </c>
      <c r="B7" s="3">
        <f t="shared" si="5"/>
        <v>12</v>
      </c>
      <c r="C7" s="3"/>
      <c r="D7" s="34" t="s">
        <v>1901</v>
      </c>
      <c r="E7" s="3">
        <f t="shared" si="6"/>
        <v>6</v>
      </c>
      <c r="F7" s="3"/>
      <c r="G7" s="33" t="s">
        <v>1901</v>
      </c>
      <c r="H7" s="3">
        <f t="shared" si="7"/>
        <v>12</v>
      </c>
      <c r="I7" s="3">
        <f t="shared" si="8"/>
        <v>6</v>
      </c>
      <c r="J7" s="34">
        <v>18.0</v>
      </c>
      <c r="K7" s="3"/>
      <c r="L7" s="3"/>
      <c r="M7" s="3"/>
      <c r="N7" s="3"/>
      <c r="O7" s="3"/>
      <c r="P7" s="3"/>
      <c r="Q7" s="3"/>
      <c r="R7" s="3"/>
      <c r="S7" s="35" t="s">
        <v>1902</v>
      </c>
      <c r="T7" s="36"/>
      <c r="U7" s="36"/>
      <c r="V7" s="36"/>
      <c r="W7" s="36"/>
      <c r="X7" s="37"/>
      <c r="Y7" s="3"/>
      <c r="Z7" s="3"/>
      <c r="AA7" s="3"/>
      <c r="AB7" s="3"/>
      <c r="AC7" s="3"/>
      <c r="AD7" s="3"/>
    </row>
    <row r="8">
      <c r="A8" s="34" t="s">
        <v>1903</v>
      </c>
      <c r="B8" s="3">
        <f t="shared" ref="B8:B9" si="9">48/2</f>
        <v>24</v>
      </c>
      <c r="C8" s="3"/>
      <c r="D8" s="34" t="s">
        <v>1903</v>
      </c>
      <c r="E8" s="3">
        <f t="shared" ref="E8:E9" si="10">12</f>
        <v>12</v>
      </c>
      <c r="F8" s="3"/>
      <c r="G8" s="33" t="s">
        <v>1903</v>
      </c>
      <c r="H8" s="3">
        <f t="shared" ref="H8:H9" si="11">48/2</f>
        <v>24</v>
      </c>
      <c r="I8" s="3">
        <f t="shared" ref="I8:I9" si="12">12</f>
        <v>12</v>
      </c>
      <c r="J8" s="3">
        <f>J10/2</f>
        <v>36</v>
      </c>
      <c r="K8" s="3">
        <f t="shared" ref="K8:K9" si="13">J8/4</f>
        <v>9</v>
      </c>
      <c r="L8" s="3"/>
      <c r="M8" s="34" t="s">
        <v>1887</v>
      </c>
      <c r="N8" s="3">
        <v>1.24752475247525</v>
      </c>
      <c r="O8" s="3"/>
      <c r="P8" s="34" t="s">
        <v>1888</v>
      </c>
      <c r="Q8" s="3">
        <v>2.10891089108911</v>
      </c>
      <c r="R8" s="3"/>
      <c r="S8" s="39">
        <v>1.24752475247525</v>
      </c>
      <c r="T8" s="39">
        <v>3.450954102763216</v>
      </c>
      <c r="U8" s="39">
        <v>5.13725490196078</v>
      </c>
      <c r="V8" s="39">
        <v>2.10891089108911</v>
      </c>
      <c r="W8" s="39">
        <v>3.8054559120027025</v>
      </c>
      <c r="X8" s="39">
        <v>5.45544554455446</v>
      </c>
      <c r="Y8" s="3"/>
      <c r="Z8" s="3"/>
      <c r="AA8" s="3"/>
      <c r="AB8" s="3"/>
      <c r="AC8" s="3"/>
      <c r="AD8" s="3"/>
    </row>
    <row r="9">
      <c r="A9" s="34" t="s">
        <v>1904</v>
      </c>
      <c r="B9" s="3">
        <f t="shared" si="9"/>
        <v>24</v>
      </c>
      <c r="C9" s="3"/>
      <c r="D9" s="34" t="s">
        <v>1904</v>
      </c>
      <c r="E9" s="3">
        <f t="shared" si="10"/>
        <v>12</v>
      </c>
      <c r="F9" s="3"/>
      <c r="G9" s="33" t="s">
        <v>1905</v>
      </c>
      <c r="H9" s="3">
        <f t="shared" si="11"/>
        <v>24</v>
      </c>
      <c r="I9" s="3">
        <f t="shared" si="12"/>
        <v>12</v>
      </c>
      <c r="J9" s="34">
        <v>36.0</v>
      </c>
      <c r="K9" s="3">
        <f t="shared" si="13"/>
        <v>9</v>
      </c>
      <c r="L9" s="3"/>
      <c r="M9" s="34" t="s">
        <v>1906</v>
      </c>
      <c r="N9" s="3">
        <v>5.13725490196078</v>
      </c>
      <c r="O9" s="3"/>
      <c r="P9" s="34" t="s">
        <v>1893</v>
      </c>
      <c r="Q9" s="3">
        <v>5.45544554455446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3"/>
      <c r="C10" s="3"/>
      <c r="D10" s="3"/>
      <c r="G10" s="33" t="s">
        <v>1885</v>
      </c>
      <c r="H10" s="33">
        <v>48.0</v>
      </c>
      <c r="I10" s="33">
        <f>72-48</f>
        <v>24</v>
      </c>
      <c r="J10" s="33">
        <f>72</f>
        <v>72</v>
      </c>
      <c r="K10" s="3"/>
      <c r="L10" s="3"/>
      <c r="M10" s="34" t="s">
        <v>1899</v>
      </c>
      <c r="N10" s="3">
        <v>3.450954102763216</v>
      </c>
      <c r="O10" s="3"/>
      <c r="P10" s="34" t="s">
        <v>1900</v>
      </c>
      <c r="Q10" s="3">
        <v>3.8054559120027025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3"/>
      <c r="B11" s="33"/>
      <c r="C11" s="3"/>
      <c r="D11" s="33"/>
      <c r="E11" s="33"/>
      <c r="F11" s="33"/>
      <c r="G11" s="33"/>
      <c r="H11" s="33"/>
      <c r="I11" s="33"/>
      <c r="J11" s="3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3" t="s">
        <v>1907</v>
      </c>
      <c r="B12" s="33" t="s">
        <v>1908</v>
      </c>
      <c r="C12" s="3"/>
      <c r="I12" s="33"/>
      <c r="J12" s="3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4" t="s">
        <v>1909</v>
      </c>
      <c r="B13" s="3">
        <f>average('OASIS data'!E2:E901)</f>
        <v>4.331249062</v>
      </c>
      <c r="C13" s="3"/>
      <c r="I13" s="3"/>
      <c r="J13" s="3"/>
      <c r="K13" s="3"/>
      <c r="L13" s="3"/>
      <c r="M13" s="33" t="s">
        <v>1910</v>
      </c>
      <c r="N13" s="33" t="s">
        <v>1911</v>
      </c>
      <c r="O13" s="33" t="s">
        <v>1912</v>
      </c>
      <c r="P13" s="33" t="s">
        <v>1913</v>
      </c>
      <c r="Q13" s="33" t="s">
        <v>1914</v>
      </c>
      <c r="R13" s="33" t="s">
        <v>1915</v>
      </c>
      <c r="S13" s="33" t="s">
        <v>1916</v>
      </c>
      <c r="T13" s="33" t="s">
        <v>1917</v>
      </c>
      <c r="U13" s="33" t="s">
        <v>1918</v>
      </c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4" t="s">
        <v>1919</v>
      </c>
      <c r="B14" s="3">
        <f>min('OASIS data'!E2:E901)</f>
        <v>1.107843137</v>
      </c>
      <c r="C14" s="3"/>
      <c r="I14" s="3"/>
      <c r="J14" s="3"/>
      <c r="K14" s="34"/>
      <c r="L14" s="34"/>
      <c r="M14" s="33" t="s">
        <v>11</v>
      </c>
      <c r="N14" s="3">
        <f>'Selected data'!E2</f>
        <v>1.198019802</v>
      </c>
      <c r="O14" s="3">
        <v>2.82178217821782</v>
      </c>
      <c r="P14" s="3">
        <f>MIN('Selected data'!H2:H10)</f>
        <v>3.485148515</v>
      </c>
      <c r="Q14" s="3">
        <f>MAX('Selected data'!H2:H10)</f>
        <v>5.01980198</v>
      </c>
      <c r="R14" s="3">
        <v>4.76851851851852</v>
      </c>
      <c r="S14" s="3">
        <v>5.14705882352941</v>
      </c>
      <c r="T14" s="3">
        <f>MIN('Selected data'!H11:H19)</f>
        <v>3.009708738</v>
      </c>
      <c r="U14" s="3">
        <f>MIN('Selected data'!H11:H19)</f>
        <v>3.009708738</v>
      </c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4" t="s">
        <v>1920</v>
      </c>
      <c r="B15" s="34">
        <f>max('OASIS data'!E2:E901)</f>
        <v>6.490196078</v>
      </c>
      <c r="C15" s="3"/>
      <c r="I15" s="3"/>
      <c r="J15" s="3"/>
      <c r="K15" s="3"/>
      <c r="L15" s="3"/>
      <c r="M15" s="33" t="s">
        <v>15</v>
      </c>
      <c r="N15" s="34">
        <v>2.00980392156863</v>
      </c>
      <c r="O15" s="3">
        <v>2.92156862745098</v>
      </c>
      <c r="P15" s="3">
        <f>MIN('Selected data'!H20:H28)</f>
        <v>3.069306931</v>
      </c>
      <c r="Q15" s="3">
        <f>MAX('Selected data'!H20:H28)</f>
        <v>4.544554455</v>
      </c>
      <c r="R15" s="3">
        <v>4.25742574257426</v>
      </c>
      <c r="S15" s="3">
        <v>5.22549019607843</v>
      </c>
      <c r="T15" s="3">
        <f>MIN('Selected data'!I29:I37)</f>
        <v>1.365776898</v>
      </c>
      <c r="U15" s="3">
        <f>MIN('Selected data'!H29:H37)</f>
        <v>2.108910891</v>
      </c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4" t="s">
        <v>1921</v>
      </c>
      <c r="B16" s="34">
        <f>average('OASIS data'!F2:F901)</f>
        <v>1.104819736</v>
      </c>
      <c r="C16" s="3"/>
      <c r="I16" s="3"/>
      <c r="J16" s="3"/>
      <c r="K16" s="3"/>
      <c r="L16" s="3"/>
      <c r="M16" s="33" t="s">
        <v>25</v>
      </c>
      <c r="N16" s="34">
        <v>1.8921568627451</v>
      </c>
      <c r="O16" s="3">
        <v>2.90196078431373</v>
      </c>
      <c r="P16" s="3">
        <f>MIN('Selected data'!H38:H46)</f>
        <v>3.769230769</v>
      </c>
      <c r="Q16" s="3">
        <f>MAX('Selected data'!H38:H46)</f>
        <v>5.089108911</v>
      </c>
      <c r="R16" s="3">
        <v>4.06862745098039</v>
      </c>
      <c r="S16" s="3">
        <v>5.18518518518519</v>
      </c>
      <c r="T16" s="3">
        <f>MIN('Selected data'!I47:I55)</f>
        <v>1.523284622</v>
      </c>
      <c r="U16" s="3">
        <f>MIN('Selected data'!H47:H55)</f>
        <v>2.801980198</v>
      </c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4" t="s">
        <v>1922</v>
      </c>
      <c r="B17" s="34">
        <f>average('OASIS data'!H2:H901)</f>
        <v>3.668098459</v>
      </c>
      <c r="C17" s="3"/>
      <c r="I17" s="40"/>
      <c r="J17" s="40"/>
      <c r="K17" s="3"/>
      <c r="L17" s="3"/>
      <c r="M17" s="33" t="s">
        <v>39</v>
      </c>
      <c r="N17" s="3">
        <v>1.47058823529412</v>
      </c>
      <c r="O17" s="3">
        <v>2.23529411764706</v>
      </c>
      <c r="P17" s="3">
        <f>MIN('Selected data'!H56:H64)</f>
        <v>3.732673267</v>
      </c>
      <c r="Q17" s="3">
        <f>MAX('Selected data'!H56:H64)</f>
        <v>5.455445545</v>
      </c>
      <c r="R17" s="3">
        <v>4.12962962962963</v>
      </c>
      <c r="S17" s="3">
        <v>5.15841584158416</v>
      </c>
      <c r="T17" s="3">
        <f>MIN('Selected data'!I65:I73)</f>
        <v>1.398681765</v>
      </c>
      <c r="U17" s="3">
        <f>MIN('Selected data'!H65:H73)</f>
        <v>2.25</v>
      </c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4" t="s">
        <v>1923</v>
      </c>
      <c r="B18" s="34">
        <f>min('OASIS data'!H2:H901)</f>
        <v>1.693069307</v>
      </c>
      <c r="C18" s="3"/>
      <c r="D18" s="3"/>
      <c r="E18" s="3"/>
      <c r="F18" s="3"/>
      <c r="G18" s="3"/>
      <c r="H18" s="3"/>
      <c r="I18" s="34"/>
      <c r="J18" s="34"/>
      <c r="K18" s="3"/>
      <c r="L18" s="3"/>
      <c r="M18" s="33" t="s">
        <v>1924</v>
      </c>
      <c r="N18" s="40">
        <f t="shared" ref="N18:O18" si="14">average(N14:N17)</f>
        <v>1.642642205</v>
      </c>
      <c r="O18" s="40">
        <f t="shared" si="14"/>
        <v>2.720151427</v>
      </c>
      <c r="P18" s="40">
        <f t="shared" ref="P18:Q18" si="15">AVERAGE(P14:P17)</f>
        <v>3.514089871</v>
      </c>
      <c r="Q18" s="40">
        <f t="shared" si="15"/>
        <v>5.027227723</v>
      </c>
      <c r="R18" s="40">
        <f t="shared" ref="R18:S18" si="16">average(R14:R17)</f>
        <v>4.306050335</v>
      </c>
      <c r="S18" s="40">
        <f t="shared" si="16"/>
        <v>5.179037512</v>
      </c>
      <c r="T18" s="40">
        <f t="shared" ref="T18:U18" si="17">AVERAGE(T14:T17)</f>
        <v>1.824363006</v>
      </c>
      <c r="U18" s="40">
        <f t="shared" si="17"/>
        <v>2.542649957</v>
      </c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4" t="s">
        <v>1925</v>
      </c>
      <c r="B19" s="34">
        <f>MAX('OASIS data'!H2:H901)</f>
        <v>5.722772277</v>
      </c>
      <c r="C19" s="3"/>
      <c r="D19" s="34"/>
      <c r="E19" s="34"/>
      <c r="F19" s="3"/>
      <c r="G19" s="3"/>
      <c r="H19" s="3"/>
      <c r="K19" s="34"/>
      <c r="L19" s="34"/>
      <c r="M19" s="3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4" t="s">
        <v>1926</v>
      </c>
      <c r="B20" s="34">
        <f>AVERAGE('OASIS data'!I2:I901)</f>
        <v>1.67742754</v>
      </c>
      <c r="C20" s="3"/>
      <c r="D20" s="33"/>
      <c r="E20" s="3"/>
      <c r="F20" s="3"/>
      <c r="G20" s="3"/>
      <c r="H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3"/>
      <c r="D21" s="3"/>
      <c r="E21" s="3"/>
      <c r="F21" s="3"/>
      <c r="G21" s="3"/>
      <c r="H21" s="3"/>
      <c r="I21" s="41"/>
      <c r="J21" s="4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3"/>
      <c r="D22" s="3"/>
      <c r="E22" s="3"/>
      <c r="F22" s="3"/>
      <c r="G22" s="3"/>
      <c r="H22" s="3"/>
      <c r="I22" s="34"/>
      <c r="J22" s="34"/>
      <c r="K22" s="34"/>
      <c r="L22" s="3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3"/>
      <c r="D23" s="3"/>
      <c r="E23" s="3"/>
      <c r="F23" s="3"/>
      <c r="G23" s="3"/>
      <c r="H23" s="3"/>
      <c r="I23" s="34"/>
      <c r="J23" s="34"/>
      <c r="K23" s="34"/>
      <c r="L23" s="3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3"/>
      <c r="D24" s="3"/>
      <c r="E24" s="3"/>
      <c r="F24" s="3"/>
      <c r="G24" s="3"/>
      <c r="H24" s="3"/>
      <c r="I24" s="34"/>
      <c r="J24" s="34"/>
      <c r="K24" s="34"/>
      <c r="L24" s="3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3"/>
      <c r="L25" s="33"/>
      <c r="M25" s="3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3"/>
      <c r="F28" s="3"/>
      <c r="G28" s="3"/>
      <c r="H28" s="3"/>
      <c r="I28" s="34"/>
      <c r="J28" s="34"/>
      <c r="K28" s="3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3"/>
      <c r="H29" s="3"/>
      <c r="I29" s="34"/>
      <c r="J29" s="34"/>
      <c r="K29" s="34"/>
      <c r="L29" s="3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</sheetData>
  <mergeCells count="4">
    <mergeCell ref="S3:U3"/>
    <mergeCell ref="V3:X3"/>
    <mergeCell ref="S5:X5"/>
    <mergeCell ref="S7:X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/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30" t="s">
        <v>1843</v>
      </c>
      <c r="B2" s="31" t="s">
        <v>1844</v>
      </c>
      <c r="C2" s="31" t="s">
        <v>11</v>
      </c>
      <c r="D2" s="31" t="s">
        <v>46</v>
      </c>
      <c r="E2" s="31">
        <v>1.1980198019802</v>
      </c>
      <c r="F2" s="31">
        <v>0.735116344263927</v>
      </c>
      <c r="G2" s="31">
        <v>101.0</v>
      </c>
      <c r="H2" s="31">
        <v>4.51456310679612</v>
      </c>
      <c r="I2" s="31">
        <v>2.48471435873581</v>
      </c>
      <c r="J2" s="31">
        <v>103.0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 t="s">
        <v>1835</v>
      </c>
      <c r="B3" s="47" t="s">
        <v>1836</v>
      </c>
      <c r="C3" s="47" t="s">
        <v>11</v>
      </c>
      <c r="D3" s="47" t="s">
        <v>46</v>
      </c>
      <c r="E3" s="47">
        <v>1.24752475247525</v>
      </c>
      <c r="F3" s="47">
        <v>0.698655002044062</v>
      </c>
      <c r="G3" s="47">
        <v>101.0</v>
      </c>
      <c r="H3" s="47">
        <v>4.47572815533981</v>
      </c>
      <c r="I3" s="47">
        <v>2.37158282626742</v>
      </c>
      <c r="J3" s="47">
        <v>103.0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8" t="s">
        <v>1807</v>
      </c>
      <c r="B4" s="47" t="s">
        <v>1808</v>
      </c>
      <c r="C4" s="47" t="s">
        <v>11</v>
      </c>
      <c r="D4" s="47" t="s">
        <v>12</v>
      </c>
      <c r="E4" s="47">
        <v>1.3921568627451</v>
      </c>
      <c r="F4" s="47">
        <v>0.88055858447636</v>
      </c>
      <c r="G4" s="47">
        <v>102.0</v>
      </c>
      <c r="H4" s="47">
        <v>5.01980198019802</v>
      </c>
      <c r="I4" s="47">
        <v>2.06872036785933</v>
      </c>
      <c r="J4" s="47">
        <v>101.0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30" t="s">
        <v>1799</v>
      </c>
      <c r="B5" s="31" t="s">
        <v>1800</v>
      </c>
      <c r="C5" s="31" t="s">
        <v>11</v>
      </c>
      <c r="D5" s="31" t="s">
        <v>46</v>
      </c>
      <c r="E5" s="31">
        <v>1.67326732673267</v>
      </c>
      <c r="F5" s="31">
        <v>0.906740435748722</v>
      </c>
      <c r="G5" s="31">
        <v>101.0</v>
      </c>
      <c r="H5" s="31">
        <v>4.36893203883495</v>
      </c>
      <c r="I5" s="31">
        <v>2.33048968708521</v>
      </c>
      <c r="J5" s="31">
        <v>103.0</v>
      </c>
      <c r="K5" s="30"/>
      <c r="L5" s="31"/>
      <c r="M5" s="31"/>
      <c r="N5" s="31"/>
      <c r="O5" s="31"/>
      <c r="P5" s="31"/>
      <c r="Q5" s="31"/>
      <c r="R5" s="31"/>
      <c r="S5" s="31"/>
      <c r="T5" s="31"/>
      <c r="U5" s="45"/>
      <c r="V5" s="45"/>
      <c r="W5" s="45"/>
      <c r="X5" s="45"/>
      <c r="Y5" s="45"/>
      <c r="Z5" s="45"/>
    </row>
    <row r="6">
      <c r="A6" s="48" t="s">
        <v>1760</v>
      </c>
      <c r="B6" s="47" t="s">
        <v>1761</v>
      </c>
      <c r="C6" s="47" t="s">
        <v>11</v>
      </c>
      <c r="D6" s="47" t="s">
        <v>12</v>
      </c>
      <c r="E6" s="47">
        <v>2.31481481481481</v>
      </c>
      <c r="F6" s="47">
        <v>0.903245944587621</v>
      </c>
      <c r="G6" s="47">
        <v>108.0</v>
      </c>
      <c r="H6" s="47">
        <v>4.25961538461539</v>
      </c>
      <c r="I6" s="47">
        <v>1.83808253989051</v>
      </c>
      <c r="J6" s="47">
        <v>104.0</v>
      </c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8" t="s">
        <v>1752</v>
      </c>
      <c r="B7" s="47" t="s">
        <v>1753</v>
      </c>
      <c r="C7" s="47" t="s">
        <v>11</v>
      </c>
      <c r="D7" s="47" t="s">
        <v>12</v>
      </c>
      <c r="E7" s="47">
        <v>2.38888888888889</v>
      </c>
      <c r="F7" s="47">
        <v>1.25923380749226</v>
      </c>
      <c r="G7" s="47">
        <v>108.0</v>
      </c>
      <c r="H7" s="47">
        <v>4.56730769230769</v>
      </c>
      <c r="I7" s="47">
        <v>1.75579165381054</v>
      </c>
      <c r="J7" s="47">
        <v>104.0</v>
      </c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8" t="s">
        <v>1711</v>
      </c>
      <c r="B8" s="47" t="s">
        <v>1712</v>
      </c>
      <c r="C8" s="47" t="s">
        <v>11</v>
      </c>
      <c r="D8" s="47" t="s">
        <v>12</v>
      </c>
      <c r="E8" s="47">
        <v>2.50925925925926</v>
      </c>
      <c r="F8" s="47">
        <v>1.20354127295571</v>
      </c>
      <c r="G8" s="47">
        <v>108.0</v>
      </c>
      <c r="H8" s="47">
        <v>3.93269230769231</v>
      </c>
      <c r="I8" s="47">
        <v>1.77503957607691</v>
      </c>
      <c r="J8" s="47">
        <v>104.0</v>
      </c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8" t="s">
        <v>1679</v>
      </c>
      <c r="B9" s="47" t="s">
        <v>1680</v>
      </c>
      <c r="C9" s="47" t="s">
        <v>11</v>
      </c>
      <c r="D9" s="47" t="s">
        <v>12</v>
      </c>
      <c r="E9" s="47">
        <v>2.63725490196078</v>
      </c>
      <c r="F9" s="47">
        <v>0.865044103337111</v>
      </c>
      <c r="G9" s="47">
        <v>102.0</v>
      </c>
      <c r="H9" s="47">
        <v>3.48514851485149</v>
      </c>
      <c r="I9" s="47">
        <v>1.65899886308664</v>
      </c>
      <c r="J9" s="47">
        <v>101.0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8" t="s">
        <v>1631</v>
      </c>
      <c r="B10" s="47" t="s">
        <v>1632</v>
      </c>
      <c r="C10" s="47" t="s">
        <v>11</v>
      </c>
      <c r="D10" s="47" t="s">
        <v>12</v>
      </c>
      <c r="E10" s="47">
        <v>2.82178217821782</v>
      </c>
      <c r="F10" s="47">
        <v>1.12601988973517</v>
      </c>
      <c r="G10" s="47">
        <v>101.0</v>
      </c>
      <c r="H10" s="47">
        <v>3.6504854368932</v>
      </c>
      <c r="I10" s="47">
        <v>1.79710408584869</v>
      </c>
      <c r="J10" s="47">
        <v>103.0</v>
      </c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9" t="s">
        <v>1004</v>
      </c>
      <c r="B11" s="50" t="s">
        <v>1005</v>
      </c>
      <c r="C11" s="50" t="s">
        <v>11</v>
      </c>
      <c r="D11" s="50" t="s">
        <v>12</v>
      </c>
      <c r="E11" s="50">
        <v>4.76851851851852</v>
      </c>
      <c r="F11" s="50">
        <v>1.19661892435359</v>
      </c>
      <c r="G11" s="50">
        <v>108.0</v>
      </c>
      <c r="H11" s="50">
        <v>3.57692307692308</v>
      </c>
      <c r="I11" s="50">
        <v>1.59302062525003</v>
      </c>
      <c r="J11" s="50">
        <v>104.0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49" t="s">
        <v>985</v>
      </c>
      <c r="B12" s="50" t="s">
        <v>986</v>
      </c>
      <c r="C12" s="50" t="s">
        <v>11</v>
      </c>
      <c r="D12" s="50" t="s">
        <v>12</v>
      </c>
      <c r="E12" s="50">
        <v>4.8019801980198</v>
      </c>
      <c r="F12" s="50">
        <v>1.28856355668006</v>
      </c>
      <c r="G12" s="50">
        <v>101.0</v>
      </c>
      <c r="H12" s="50">
        <v>3.66990291262136</v>
      </c>
      <c r="I12" s="50">
        <v>1.530015695899</v>
      </c>
      <c r="J12" s="50">
        <v>103.0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49" t="s">
        <v>945</v>
      </c>
      <c r="B13" s="50" t="s">
        <v>946</v>
      </c>
      <c r="C13" s="50" t="s">
        <v>11</v>
      </c>
      <c r="D13" s="50" t="s">
        <v>12</v>
      </c>
      <c r="E13" s="50">
        <v>4.83333333333333</v>
      </c>
      <c r="F13" s="50">
        <v>1.1864193015439</v>
      </c>
      <c r="G13" s="50">
        <v>102.0</v>
      </c>
      <c r="H13" s="50">
        <v>4.2970297029703</v>
      </c>
      <c r="I13" s="50">
        <v>1.57825571093816</v>
      </c>
      <c r="J13" s="50">
        <v>101.0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49" t="s">
        <v>909</v>
      </c>
      <c r="B14" s="50" t="s">
        <v>910</v>
      </c>
      <c r="C14" s="50" t="s">
        <v>11</v>
      </c>
      <c r="D14" s="50" t="s">
        <v>12</v>
      </c>
      <c r="E14" s="50">
        <v>4.87128712871287</v>
      </c>
      <c r="F14" s="50">
        <v>1.11052569836662</v>
      </c>
      <c r="G14" s="50">
        <v>101.0</v>
      </c>
      <c r="H14" s="50">
        <v>3.00970873786408</v>
      </c>
      <c r="I14" s="50">
        <v>1.41764196391899</v>
      </c>
      <c r="J14" s="50">
        <v>103.0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49" t="s">
        <v>852</v>
      </c>
      <c r="B15" s="50" t="s">
        <v>853</v>
      </c>
      <c r="C15" s="50" t="s">
        <v>11</v>
      </c>
      <c r="D15" s="50" t="s">
        <v>12</v>
      </c>
      <c r="E15" s="50">
        <v>4.96078431372549</v>
      </c>
      <c r="F15" s="50">
        <v>1.09834771160734</v>
      </c>
      <c r="G15" s="50">
        <v>102.0</v>
      </c>
      <c r="H15" s="50">
        <v>4.28712871287129</v>
      </c>
      <c r="I15" s="50">
        <v>1.6330133720418</v>
      </c>
      <c r="J15" s="50">
        <v>101.0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49" t="s">
        <v>823</v>
      </c>
      <c r="B16" s="50" t="s">
        <v>824</v>
      </c>
      <c r="C16" s="50" t="s">
        <v>11</v>
      </c>
      <c r="D16" s="50" t="s">
        <v>46</v>
      </c>
      <c r="E16" s="50">
        <v>4.99074074074074</v>
      </c>
      <c r="F16" s="50">
        <v>1.08080422090782</v>
      </c>
      <c r="G16" s="50">
        <v>108.0</v>
      </c>
      <c r="H16" s="50">
        <v>4.11538461538461</v>
      </c>
      <c r="I16" s="50">
        <v>1.65058208213288</v>
      </c>
      <c r="J16" s="50">
        <v>104.0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49" t="s">
        <v>649</v>
      </c>
      <c r="B17" s="50" t="s">
        <v>650</v>
      </c>
      <c r="C17" s="50" t="s">
        <v>11</v>
      </c>
      <c r="D17" s="50" t="s">
        <v>12</v>
      </c>
      <c r="E17" s="50">
        <v>5.1078431372549</v>
      </c>
      <c r="F17" s="50">
        <v>1.01383364918499</v>
      </c>
      <c r="G17" s="50">
        <v>102.0</v>
      </c>
      <c r="H17" s="50">
        <v>3.37623762376238</v>
      </c>
      <c r="I17" s="50">
        <v>1.59907151277555</v>
      </c>
      <c r="J17" s="50">
        <v>101.0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49" t="s">
        <v>608</v>
      </c>
      <c r="B18" s="50" t="s">
        <v>609</v>
      </c>
      <c r="C18" s="50" t="s">
        <v>11</v>
      </c>
      <c r="D18" s="50" t="s">
        <v>12</v>
      </c>
      <c r="E18" s="50">
        <v>5.13725490196078</v>
      </c>
      <c r="F18" s="50">
        <v>1.15217586396799</v>
      </c>
      <c r="G18" s="50">
        <v>102.0</v>
      </c>
      <c r="H18" s="50">
        <v>3.67326732673267</v>
      </c>
      <c r="I18" s="50">
        <v>1.59442096631404</v>
      </c>
      <c r="J18" s="50">
        <v>101.0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49" t="s">
        <v>606</v>
      </c>
      <c r="B19" s="50" t="s">
        <v>607</v>
      </c>
      <c r="C19" s="50" t="s">
        <v>11</v>
      </c>
      <c r="D19" s="50" t="s">
        <v>12</v>
      </c>
      <c r="E19" s="50">
        <v>5.14705882352941</v>
      </c>
      <c r="F19" s="50">
        <v>1.1292427921551</v>
      </c>
      <c r="G19" s="50">
        <v>102.0</v>
      </c>
      <c r="H19" s="50">
        <v>3.14851485148515</v>
      </c>
      <c r="I19" s="50">
        <v>1.38120337831806</v>
      </c>
      <c r="J19" s="50">
        <v>101.0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1" t="s">
        <v>93</v>
      </c>
      <c r="B20" s="12" t="s">
        <v>94</v>
      </c>
      <c r="C20" s="12" t="s">
        <v>15</v>
      </c>
      <c r="D20" s="12" t="s">
        <v>46</v>
      </c>
      <c r="E20" s="12">
        <v>2.00980392156863</v>
      </c>
      <c r="F20" s="12">
        <v>1.02922731797387</v>
      </c>
      <c r="G20" s="12">
        <v>102.0</v>
      </c>
      <c r="H20" s="12">
        <v>3.52475247524752</v>
      </c>
      <c r="I20" s="12">
        <v>2.05715366176638</v>
      </c>
      <c r="J20" s="12">
        <v>101.0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3" t="s">
        <v>67</v>
      </c>
      <c r="B21" s="54" t="s">
        <v>68</v>
      </c>
      <c r="C21" s="54" t="s">
        <v>15</v>
      </c>
      <c r="D21" s="54" t="s">
        <v>69</v>
      </c>
      <c r="E21" s="54">
        <v>1.84313725490196</v>
      </c>
      <c r="F21" s="54">
        <v>1.06003080507466</v>
      </c>
      <c r="G21" s="54">
        <v>102.0</v>
      </c>
      <c r="H21" s="54">
        <v>4.54455445544554</v>
      </c>
      <c r="I21" s="54">
        <v>1.93661949011801</v>
      </c>
      <c r="J21" s="54">
        <v>101.0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3" t="s">
        <v>76</v>
      </c>
      <c r="B22" s="54" t="s">
        <v>77</v>
      </c>
      <c r="C22" s="54" t="s">
        <v>15</v>
      </c>
      <c r="D22" s="54" t="s">
        <v>12</v>
      </c>
      <c r="E22" s="54">
        <v>1.91666666666667</v>
      </c>
      <c r="F22" s="54">
        <v>0.977551776958906</v>
      </c>
      <c r="G22" s="54">
        <v>108.0</v>
      </c>
      <c r="H22" s="54">
        <v>4.17307692307692</v>
      </c>
      <c r="I22" s="54">
        <v>2.0310325830101</v>
      </c>
      <c r="J22" s="54">
        <v>104.0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3" t="s">
        <v>87</v>
      </c>
      <c r="B23" s="54" t="s">
        <v>88</v>
      </c>
      <c r="C23" s="54" t="s">
        <v>15</v>
      </c>
      <c r="D23" s="54" t="s">
        <v>12</v>
      </c>
      <c r="E23" s="54">
        <v>1.97222222222222</v>
      </c>
      <c r="F23" s="54">
        <v>1.00891663311974</v>
      </c>
      <c r="G23" s="54">
        <v>108.0</v>
      </c>
      <c r="H23" s="54">
        <v>4.08653846153846</v>
      </c>
      <c r="I23" s="54">
        <v>1.83869189953591</v>
      </c>
      <c r="J23" s="54">
        <v>104.0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3" t="s">
        <v>127</v>
      </c>
      <c r="B24" s="54" t="s">
        <v>128</v>
      </c>
      <c r="C24" s="54" t="s">
        <v>15</v>
      </c>
      <c r="D24" s="54" t="s">
        <v>46</v>
      </c>
      <c r="E24" s="54">
        <v>2.13725490196078</v>
      </c>
      <c r="F24" s="54">
        <v>1.03444839355868</v>
      </c>
      <c r="G24" s="54">
        <v>102.0</v>
      </c>
      <c r="H24" s="54">
        <v>3.06930693069307</v>
      </c>
      <c r="I24" s="54">
        <v>1.94554581412299</v>
      </c>
      <c r="J24" s="54">
        <v>101.0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3" t="s">
        <v>161</v>
      </c>
      <c r="B25" s="54" t="s">
        <v>162</v>
      </c>
      <c r="C25" s="54" t="s">
        <v>15</v>
      </c>
      <c r="D25" s="54" t="s">
        <v>12</v>
      </c>
      <c r="E25" s="54">
        <v>2.33333333333333</v>
      </c>
      <c r="F25" s="54">
        <v>1.06779535299975</v>
      </c>
      <c r="G25" s="54">
        <v>108.0</v>
      </c>
      <c r="H25" s="54">
        <v>4.16346153846154</v>
      </c>
      <c r="I25" s="54">
        <v>1.80673269939137</v>
      </c>
      <c r="J25" s="54">
        <v>104.0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3" t="s">
        <v>222</v>
      </c>
      <c r="B26" s="54" t="s">
        <v>223</v>
      </c>
      <c r="C26" s="54" t="s">
        <v>15</v>
      </c>
      <c r="D26" s="54" t="s">
        <v>12</v>
      </c>
      <c r="E26" s="54">
        <v>2.59803921568627</v>
      </c>
      <c r="F26" s="54">
        <v>1.32201319567394</v>
      </c>
      <c r="G26" s="54">
        <v>102.0</v>
      </c>
      <c r="H26" s="54">
        <v>4.00990099009901</v>
      </c>
      <c r="I26" s="54">
        <v>1.70584319036042</v>
      </c>
      <c r="J26" s="54">
        <v>101.0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3" t="s">
        <v>232</v>
      </c>
      <c r="B27" s="54" t="s">
        <v>233</v>
      </c>
      <c r="C27" s="54" t="s">
        <v>15</v>
      </c>
      <c r="D27" s="54" t="s">
        <v>12</v>
      </c>
      <c r="E27" s="54">
        <v>2.62037037037037</v>
      </c>
      <c r="F27" s="54">
        <v>1.18177430829638</v>
      </c>
      <c r="G27" s="54">
        <v>108.0</v>
      </c>
      <c r="H27" s="54">
        <v>3.18269230769231</v>
      </c>
      <c r="I27" s="54">
        <v>1.68237247573916</v>
      </c>
      <c r="J27" s="54">
        <v>104.0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3" t="s">
        <v>333</v>
      </c>
      <c r="B28" s="54" t="s">
        <v>334</v>
      </c>
      <c r="C28" s="54" t="s">
        <v>15</v>
      </c>
      <c r="D28" s="54" t="s">
        <v>12</v>
      </c>
      <c r="E28" s="54">
        <v>2.92156862745098</v>
      </c>
      <c r="F28" s="54">
        <v>1.53948862867444</v>
      </c>
      <c r="G28" s="54">
        <v>102.0</v>
      </c>
      <c r="H28" s="54">
        <v>4.11881188118812</v>
      </c>
      <c r="I28" s="54">
        <v>1.80713656768309</v>
      </c>
      <c r="J28" s="54">
        <v>101.0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5" t="s">
        <v>809</v>
      </c>
      <c r="B29" s="56" t="s">
        <v>810</v>
      </c>
      <c r="C29" s="56" t="s">
        <v>15</v>
      </c>
      <c r="D29" s="56" t="s">
        <v>12</v>
      </c>
      <c r="E29" s="56">
        <v>4.25742574257426</v>
      </c>
      <c r="F29" s="56">
        <v>0.687800339437757</v>
      </c>
      <c r="G29" s="56">
        <v>101.0</v>
      </c>
      <c r="H29" s="56">
        <v>2.20388349514563</v>
      </c>
      <c r="I29" s="56">
        <v>1.38166724592081</v>
      </c>
      <c r="J29" s="56">
        <v>103.0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5" t="s">
        <v>858</v>
      </c>
      <c r="B30" s="56" t="s">
        <v>859</v>
      </c>
      <c r="C30" s="56" t="s">
        <v>15</v>
      </c>
      <c r="D30" s="56" t="s">
        <v>12</v>
      </c>
      <c r="E30" s="56">
        <v>4.33333333333333</v>
      </c>
      <c r="F30" s="56">
        <v>0.998348471209826</v>
      </c>
      <c r="G30" s="56">
        <v>102.0</v>
      </c>
      <c r="H30" s="56">
        <v>2.10891089108911</v>
      </c>
      <c r="I30" s="56">
        <v>1.45534181619996</v>
      </c>
      <c r="J30" s="56">
        <v>101.0</v>
      </c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5" t="s">
        <v>957</v>
      </c>
      <c r="B31" s="56" t="s">
        <v>958</v>
      </c>
      <c r="C31" s="56" t="s">
        <v>15</v>
      </c>
      <c r="D31" s="56" t="s">
        <v>12</v>
      </c>
      <c r="E31" s="56">
        <v>4.53703703703704</v>
      </c>
      <c r="F31" s="56">
        <v>1.04502314892686</v>
      </c>
      <c r="G31" s="56">
        <v>108.0</v>
      </c>
      <c r="H31" s="56">
        <v>2.64423076923077</v>
      </c>
      <c r="I31" s="56">
        <v>1.63052358754159</v>
      </c>
      <c r="J31" s="56">
        <v>104.0</v>
      </c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5" t="s">
        <v>989</v>
      </c>
      <c r="B32" s="56" t="s">
        <v>990</v>
      </c>
      <c r="C32" s="56" t="s">
        <v>15</v>
      </c>
      <c r="D32" s="56" t="s">
        <v>12</v>
      </c>
      <c r="E32" s="56">
        <v>4.56862745098039</v>
      </c>
      <c r="F32" s="56">
        <v>1.1389573477664</v>
      </c>
      <c r="G32" s="56">
        <v>102.0</v>
      </c>
      <c r="H32" s="56">
        <v>2.41584158415842</v>
      </c>
      <c r="I32" s="56">
        <v>1.36577689783268</v>
      </c>
      <c r="J32" s="56">
        <v>101.0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5" t="s">
        <v>1056</v>
      </c>
      <c r="B33" s="56" t="s">
        <v>1057</v>
      </c>
      <c r="C33" s="56" t="s">
        <v>15</v>
      </c>
      <c r="D33" s="56" t="s">
        <v>12</v>
      </c>
      <c r="E33" s="56">
        <v>4.67647058823529</v>
      </c>
      <c r="F33" s="56">
        <v>0.956082815770439</v>
      </c>
      <c r="G33" s="56">
        <v>102.0</v>
      </c>
      <c r="H33" s="56">
        <v>2.41584158415842</v>
      </c>
      <c r="I33" s="56">
        <v>1.48504092019495</v>
      </c>
      <c r="J33" s="56">
        <v>101.0</v>
      </c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5" t="s">
        <v>1107</v>
      </c>
      <c r="B34" s="56" t="s">
        <v>1108</v>
      </c>
      <c r="C34" s="56" t="s">
        <v>15</v>
      </c>
      <c r="D34" s="56" t="s">
        <v>12</v>
      </c>
      <c r="E34" s="56">
        <v>4.75490196078431</v>
      </c>
      <c r="F34" s="56">
        <v>0.958921367116694</v>
      </c>
      <c r="G34" s="56">
        <v>102.0</v>
      </c>
      <c r="H34" s="56">
        <v>2.30693069306931</v>
      </c>
      <c r="I34" s="56">
        <v>1.51487672275618</v>
      </c>
      <c r="J34" s="56">
        <v>101.0</v>
      </c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5" t="s">
        <v>1231</v>
      </c>
      <c r="B35" s="56" t="s">
        <v>1232</v>
      </c>
      <c r="C35" s="56" t="s">
        <v>15</v>
      </c>
      <c r="D35" s="56" t="s">
        <v>12</v>
      </c>
      <c r="E35" s="56">
        <v>5.0</v>
      </c>
      <c r="F35" s="56">
        <v>1.03923048454133</v>
      </c>
      <c r="G35" s="56">
        <v>101.0</v>
      </c>
      <c r="H35" s="56">
        <v>3.03883495145631</v>
      </c>
      <c r="I35" s="56">
        <v>1.74289780165152</v>
      </c>
      <c r="J35" s="56">
        <v>103.0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5" t="s">
        <v>1247</v>
      </c>
      <c r="B36" s="56" t="s">
        <v>1248</v>
      </c>
      <c r="C36" s="56" t="s">
        <v>15</v>
      </c>
      <c r="D36" s="56" t="s">
        <v>12</v>
      </c>
      <c r="E36" s="56">
        <v>5.03921568627451</v>
      </c>
      <c r="F36" s="56">
        <v>1.35647744615593</v>
      </c>
      <c r="G36" s="56">
        <v>102.0</v>
      </c>
      <c r="H36" s="56">
        <v>3.36633663366337</v>
      </c>
      <c r="I36" s="56">
        <v>1.48810464872083</v>
      </c>
      <c r="J36" s="56">
        <v>101.0</v>
      </c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5" t="s">
        <v>1357</v>
      </c>
      <c r="B37" s="56" t="s">
        <v>1358</v>
      </c>
      <c r="C37" s="56" t="s">
        <v>15</v>
      </c>
      <c r="D37" s="56" t="s">
        <v>12</v>
      </c>
      <c r="E37" s="56">
        <v>5.22549019607843</v>
      </c>
      <c r="F37" s="56">
        <v>1.28129623989083</v>
      </c>
      <c r="G37" s="56">
        <v>102.0</v>
      </c>
      <c r="H37" s="56">
        <v>4.32673267326733</v>
      </c>
      <c r="I37" s="56">
        <v>1.88206753806068</v>
      </c>
      <c r="J37" s="56">
        <v>101.0</v>
      </c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14" t="s">
        <v>72</v>
      </c>
      <c r="B38" s="15" t="s">
        <v>73</v>
      </c>
      <c r="C38" s="15" t="s">
        <v>25</v>
      </c>
      <c r="D38" s="15" t="s">
        <v>46</v>
      </c>
      <c r="E38" s="15">
        <v>1.8921568627451</v>
      </c>
      <c r="F38" s="15">
        <v>1.08003357799927</v>
      </c>
      <c r="G38" s="15">
        <v>102.0</v>
      </c>
      <c r="H38" s="15">
        <v>4.77227722772277</v>
      </c>
      <c r="I38" s="15">
        <v>2.15815285889954</v>
      </c>
      <c r="J38" s="15">
        <v>101.0</v>
      </c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4" t="s">
        <v>115</v>
      </c>
      <c r="B39" s="15" t="s">
        <v>116</v>
      </c>
      <c r="C39" s="15" t="s">
        <v>25</v>
      </c>
      <c r="D39" s="15" t="s">
        <v>46</v>
      </c>
      <c r="E39" s="15">
        <v>2.08333333333333</v>
      </c>
      <c r="F39" s="15">
        <v>1.10330853328802</v>
      </c>
      <c r="G39" s="15">
        <v>108.0</v>
      </c>
      <c r="H39" s="15">
        <v>4.20192307692308</v>
      </c>
      <c r="I39" s="15">
        <v>1.97252884700777</v>
      </c>
      <c r="J39" s="15">
        <v>104.0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59" t="s">
        <v>111</v>
      </c>
      <c r="B40" s="60" t="s">
        <v>112</v>
      </c>
      <c r="C40" s="60" t="s">
        <v>25</v>
      </c>
      <c r="D40" s="60" t="s">
        <v>12</v>
      </c>
      <c r="E40" s="60">
        <v>2.05882352941176</v>
      </c>
      <c r="F40" s="60">
        <v>1.17585889747351</v>
      </c>
      <c r="G40" s="60">
        <v>102.0</v>
      </c>
      <c r="H40" s="60">
        <v>4.34653465346535</v>
      </c>
      <c r="I40" s="60">
        <v>2.1745603857532</v>
      </c>
      <c r="J40" s="60">
        <v>101.0</v>
      </c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59" t="s">
        <v>158</v>
      </c>
      <c r="B41" s="60" t="s">
        <v>159</v>
      </c>
      <c r="C41" s="60" t="s">
        <v>25</v>
      </c>
      <c r="D41" s="60" t="s">
        <v>160</v>
      </c>
      <c r="E41" s="60">
        <v>2.32407407407407</v>
      </c>
      <c r="F41" s="60">
        <v>1.1007958353379</v>
      </c>
      <c r="G41" s="60">
        <v>108.0</v>
      </c>
      <c r="H41" s="60">
        <v>3.81730769230769</v>
      </c>
      <c r="I41" s="60">
        <v>2.01337480812652</v>
      </c>
      <c r="J41" s="60">
        <v>104.0</v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59" t="s">
        <v>171</v>
      </c>
      <c r="B42" s="60" t="s">
        <v>172</v>
      </c>
      <c r="C42" s="60" t="s">
        <v>25</v>
      </c>
      <c r="D42" s="60" t="s">
        <v>46</v>
      </c>
      <c r="E42" s="60">
        <v>2.37254901960784</v>
      </c>
      <c r="F42" s="60">
        <v>1.26586227511269</v>
      </c>
      <c r="G42" s="60">
        <v>102.0</v>
      </c>
      <c r="H42" s="60">
        <v>4.8019801980198</v>
      </c>
      <c r="I42" s="60">
        <v>1.92883281795078</v>
      </c>
      <c r="J42" s="60">
        <v>101.0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59" t="s">
        <v>244</v>
      </c>
      <c r="B43" s="60" t="s">
        <v>245</v>
      </c>
      <c r="C43" s="60" t="s">
        <v>25</v>
      </c>
      <c r="D43" s="60" t="s">
        <v>46</v>
      </c>
      <c r="E43" s="60">
        <v>2.64705882352941</v>
      </c>
      <c r="F43" s="60">
        <v>1.27928707577623</v>
      </c>
      <c r="G43" s="60">
        <v>102.0</v>
      </c>
      <c r="H43" s="60">
        <v>5.08910891089109</v>
      </c>
      <c r="I43" s="60">
        <v>1.56268365257329</v>
      </c>
      <c r="J43" s="60">
        <v>101.0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59" t="s">
        <v>266</v>
      </c>
      <c r="B44" s="60" t="s">
        <v>267</v>
      </c>
      <c r="C44" s="60" t="s">
        <v>25</v>
      </c>
      <c r="D44" s="60" t="s">
        <v>46</v>
      </c>
      <c r="E44" s="60">
        <v>2.72222222222222</v>
      </c>
      <c r="F44" s="60">
        <v>1.2367679716003</v>
      </c>
      <c r="G44" s="60">
        <v>108.0</v>
      </c>
      <c r="H44" s="60">
        <v>3.76923076923077</v>
      </c>
      <c r="I44" s="60">
        <v>2.0537948263999</v>
      </c>
      <c r="J44" s="60">
        <v>104.0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59" t="s">
        <v>284</v>
      </c>
      <c r="B45" s="60" t="s">
        <v>285</v>
      </c>
      <c r="C45" s="60" t="s">
        <v>25</v>
      </c>
      <c r="D45" s="60" t="s">
        <v>12</v>
      </c>
      <c r="E45" s="60">
        <v>2.80392156862745</v>
      </c>
      <c r="F45" s="60">
        <v>1.19436975953868</v>
      </c>
      <c r="G45" s="60">
        <v>102.0</v>
      </c>
      <c r="H45" s="60">
        <v>4.48514851485149</v>
      </c>
      <c r="I45" s="60">
        <v>1.90585341191886</v>
      </c>
      <c r="J45" s="60">
        <v>101.0</v>
      </c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59" t="s">
        <v>325</v>
      </c>
      <c r="B46" s="60" t="s">
        <v>326</v>
      </c>
      <c r="C46" s="60" t="s">
        <v>25</v>
      </c>
      <c r="D46" s="60" t="s">
        <v>12</v>
      </c>
      <c r="E46" s="60">
        <v>2.90196078431373</v>
      </c>
      <c r="F46" s="60">
        <v>1.4177782362414</v>
      </c>
      <c r="G46" s="60">
        <v>102.0</v>
      </c>
      <c r="H46" s="60">
        <v>4.7029702970297</v>
      </c>
      <c r="I46" s="60">
        <v>1.93672173765591</v>
      </c>
      <c r="J46" s="60">
        <v>101.0</v>
      </c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61" t="s">
        <v>716</v>
      </c>
      <c r="B47" s="62" t="s">
        <v>717</v>
      </c>
      <c r="C47" s="62" t="s">
        <v>25</v>
      </c>
      <c r="D47" s="62" t="s">
        <v>46</v>
      </c>
      <c r="E47" s="62">
        <v>4.06862745098039</v>
      </c>
      <c r="F47" s="62">
        <v>1.276286413133</v>
      </c>
      <c r="G47" s="62">
        <v>102.0</v>
      </c>
      <c r="H47" s="62">
        <v>4.44554455445545</v>
      </c>
      <c r="I47" s="62">
        <v>1.72322515954679</v>
      </c>
      <c r="J47" s="62">
        <v>101.0</v>
      </c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1" t="s">
        <v>785</v>
      </c>
      <c r="B48" s="62" t="s">
        <v>786</v>
      </c>
      <c r="C48" s="62" t="s">
        <v>25</v>
      </c>
      <c r="D48" s="62" t="s">
        <v>12</v>
      </c>
      <c r="E48" s="62">
        <v>4.2156862745098</v>
      </c>
      <c r="F48" s="62">
        <v>1.53911026747706</v>
      </c>
      <c r="G48" s="62">
        <v>102.0</v>
      </c>
      <c r="H48" s="62">
        <v>4.30693069306931</v>
      </c>
      <c r="I48" s="62">
        <v>1.56679656788893</v>
      </c>
      <c r="J48" s="62">
        <v>101.0</v>
      </c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1" t="s">
        <v>896</v>
      </c>
      <c r="B49" s="62" t="s">
        <v>897</v>
      </c>
      <c r="C49" s="62" t="s">
        <v>25</v>
      </c>
      <c r="D49" s="62" t="s">
        <v>898</v>
      </c>
      <c r="E49" s="62">
        <v>4.41666666666667</v>
      </c>
      <c r="F49" s="62">
        <v>1.31933854851872</v>
      </c>
      <c r="G49" s="62">
        <v>108.0</v>
      </c>
      <c r="H49" s="62">
        <v>3.77884615384615</v>
      </c>
      <c r="I49" s="62">
        <v>1.72337854436265</v>
      </c>
      <c r="J49" s="62">
        <v>104.0</v>
      </c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1" t="s">
        <v>1072</v>
      </c>
      <c r="B50" s="62" t="s">
        <v>1073</v>
      </c>
      <c r="C50" s="62" t="s">
        <v>25</v>
      </c>
      <c r="D50" s="62" t="s">
        <v>46</v>
      </c>
      <c r="E50" s="62">
        <v>4.69444444444444</v>
      </c>
      <c r="F50" s="62">
        <v>1.28585644271717</v>
      </c>
      <c r="G50" s="62">
        <v>108.0</v>
      </c>
      <c r="H50" s="62">
        <v>3.20192307692308</v>
      </c>
      <c r="I50" s="62">
        <v>1.75919116284259</v>
      </c>
      <c r="J50" s="62">
        <v>104.0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1" t="s">
        <v>1080</v>
      </c>
      <c r="B51" s="62" t="s">
        <v>1081</v>
      </c>
      <c r="C51" s="62" t="s">
        <v>25</v>
      </c>
      <c r="D51" s="62" t="s">
        <v>12</v>
      </c>
      <c r="E51" s="62">
        <v>4.70588235294118</v>
      </c>
      <c r="F51" s="62">
        <v>1.0953387766016</v>
      </c>
      <c r="G51" s="62">
        <v>102.0</v>
      </c>
      <c r="H51" s="62">
        <v>2.8019801980198</v>
      </c>
      <c r="I51" s="62">
        <v>1.52328462199418</v>
      </c>
      <c r="J51" s="62">
        <v>101.0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1" t="s">
        <v>1105</v>
      </c>
      <c r="B52" s="62" t="s">
        <v>1106</v>
      </c>
      <c r="C52" s="62" t="s">
        <v>25</v>
      </c>
      <c r="D52" s="62" t="s">
        <v>12</v>
      </c>
      <c r="E52" s="62">
        <v>4.75490196078431</v>
      </c>
      <c r="F52" s="62">
        <v>1.12078715717093</v>
      </c>
      <c r="G52" s="62">
        <v>102.0</v>
      </c>
      <c r="H52" s="62">
        <v>3.73267326732673</v>
      </c>
      <c r="I52" s="62">
        <v>1.64250472820574</v>
      </c>
      <c r="J52" s="62">
        <v>101.0</v>
      </c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1" t="s">
        <v>1199</v>
      </c>
      <c r="B53" s="62" t="s">
        <v>1200</v>
      </c>
      <c r="C53" s="62" t="s">
        <v>25</v>
      </c>
      <c r="D53" s="62" t="s">
        <v>12</v>
      </c>
      <c r="E53" s="62">
        <v>4.94117647058824</v>
      </c>
      <c r="F53" s="62">
        <v>1.20085389925739</v>
      </c>
      <c r="G53" s="62">
        <v>102.0</v>
      </c>
      <c r="H53" s="62">
        <v>3.57425742574257</v>
      </c>
      <c r="I53" s="62">
        <v>1.68134787984798</v>
      </c>
      <c r="J53" s="62">
        <v>101.0</v>
      </c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1" t="s">
        <v>1241</v>
      </c>
      <c r="B54" s="62" t="s">
        <v>1242</v>
      </c>
      <c r="C54" s="62" t="s">
        <v>25</v>
      </c>
      <c r="D54" s="62" t="s">
        <v>12</v>
      </c>
      <c r="E54" s="62">
        <v>5.01980198019802</v>
      </c>
      <c r="F54" s="62">
        <v>1.24080778543497</v>
      </c>
      <c r="G54" s="62">
        <v>101.0</v>
      </c>
      <c r="H54" s="62">
        <v>4.33980582524272</v>
      </c>
      <c r="I54" s="62">
        <v>1.63030971470089</v>
      </c>
      <c r="J54" s="62">
        <v>103.0</v>
      </c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1" t="s">
        <v>1336</v>
      </c>
      <c r="B55" s="62" t="s">
        <v>1337</v>
      </c>
      <c r="C55" s="62" t="s">
        <v>25</v>
      </c>
      <c r="D55" s="62" t="s">
        <v>46</v>
      </c>
      <c r="E55" s="62">
        <v>5.18518518518519</v>
      </c>
      <c r="F55" s="62">
        <v>1.23914462619917</v>
      </c>
      <c r="G55" s="62">
        <v>108.0</v>
      </c>
      <c r="H55" s="62">
        <v>3.38461538461538</v>
      </c>
      <c r="I55" s="62">
        <v>1.71971826721587</v>
      </c>
      <c r="J55" s="62">
        <v>104.0</v>
      </c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4" t="s">
        <v>37</v>
      </c>
      <c r="B56" s="65" t="s">
        <v>38</v>
      </c>
      <c r="C56" s="65" t="s">
        <v>39</v>
      </c>
      <c r="D56" s="65" t="s">
        <v>12</v>
      </c>
      <c r="E56" s="65">
        <v>1.47058823529412</v>
      </c>
      <c r="F56" s="65">
        <v>0.740696519312469</v>
      </c>
      <c r="G56" s="65">
        <v>102.0</v>
      </c>
      <c r="H56" s="65">
        <v>5.14851485148515</v>
      </c>
      <c r="I56" s="65">
        <v>1.88884164828003</v>
      </c>
      <c r="J56" s="65">
        <v>101.0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4" t="s">
        <v>40</v>
      </c>
      <c r="B57" s="65" t="s">
        <v>41</v>
      </c>
      <c r="C57" s="65" t="s">
        <v>39</v>
      </c>
      <c r="D57" s="65" t="s">
        <v>12</v>
      </c>
      <c r="E57" s="65">
        <v>1.60185185185185</v>
      </c>
      <c r="F57" s="65">
        <v>0.784663923711361</v>
      </c>
      <c r="G57" s="65">
        <v>108.0</v>
      </c>
      <c r="H57" s="65">
        <v>3.77884615384615</v>
      </c>
      <c r="I57" s="65">
        <v>1.95560797175926</v>
      </c>
      <c r="J57" s="65">
        <v>104.0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4" t="s">
        <v>42</v>
      </c>
      <c r="B58" s="65" t="s">
        <v>43</v>
      </c>
      <c r="C58" s="65" t="s">
        <v>39</v>
      </c>
      <c r="D58" s="65" t="s">
        <v>12</v>
      </c>
      <c r="E58" s="65">
        <v>1.6078431372549</v>
      </c>
      <c r="F58" s="65">
        <v>0.82241930893244</v>
      </c>
      <c r="G58" s="65">
        <v>102.0</v>
      </c>
      <c r="H58" s="65">
        <v>4.98019801980198</v>
      </c>
      <c r="I58" s="65">
        <v>1.97979896969264</v>
      </c>
      <c r="J58" s="65">
        <v>101.0</v>
      </c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4" t="s">
        <v>51</v>
      </c>
      <c r="B59" s="65" t="s">
        <v>52</v>
      </c>
      <c r="C59" s="65" t="s">
        <v>39</v>
      </c>
      <c r="D59" s="65" t="s">
        <v>12</v>
      </c>
      <c r="E59" s="65">
        <v>1.7156862745098</v>
      </c>
      <c r="F59" s="65">
        <v>0.958313813919198</v>
      </c>
      <c r="G59" s="65">
        <v>102.0</v>
      </c>
      <c r="H59" s="65">
        <v>5.13861386138614</v>
      </c>
      <c r="I59" s="65">
        <v>1.76085037961944</v>
      </c>
      <c r="J59" s="65">
        <v>101.0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4" t="s">
        <v>63</v>
      </c>
      <c r="B60" s="65" t="s">
        <v>64</v>
      </c>
      <c r="C60" s="65" t="s">
        <v>39</v>
      </c>
      <c r="D60" s="65" t="s">
        <v>12</v>
      </c>
      <c r="E60" s="65">
        <v>1.82352941176471</v>
      </c>
      <c r="F60" s="65">
        <v>1.30050839035502</v>
      </c>
      <c r="G60" s="65">
        <v>102.0</v>
      </c>
      <c r="H60" s="65">
        <v>5.45544554455446</v>
      </c>
      <c r="I60" s="65">
        <v>1.7973577967408</v>
      </c>
      <c r="J60" s="65">
        <v>101.0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8" t="s">
        <v>89</v>
      </c>
      <c r="B61" s="9" t="s">
        <v>90</v>
      </c>
      <c r="C61" s="9" t="s">
        <v>39</v>
      </c>
      <c r="D61" s="9" t="s">
        <v>46</v>
      </c>
      <c r="E61" s="9">
        <v>1.99009900990099</v>
      </c>
      <c r="F61" s="9">
        <v>0.83060278719675</v>
      </c>
      <c r="G61" s="9">
        <v>101.0</v>
      </c>
      <c r="H61" s="9">
        <v>4.21359223300971</v>
      </c>
      <c r="I61" s="9">
        <v>1.87684803273422</v>
      </c>
      <c r="J61" s="9">
        <v>103.0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4" t="s">
        <v>119</v>
      </c>
      <c r="B62" s="65" t="s">
        <v>120</v>
      </c>
      <c r="C62" s="65" t="s">
        <v>39</v>
      </c>
      <c r="D62" s="65" t="s">
        <v>12</v>
      </c>
      <c r="E62" s="65">
        <v>2.09803921568627</v>
      </c>
      <c r="F62" s="65">
        <v>1.11257264906028</v>
      </c>
      <c r="G62" s="65">
        <v>102.0</v>
      </c>
      <c r="H62" s="65">
        <v>5.05940594059406</v>
      </c>
      <c r="I62" s="65">
        <v>1.91740335964146</v>
      </c>
      <c r="J62" s="65">
        <v>101.0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4" t="s">
        <v>137</v>
      </c>
      <c r="B63" s="65" t="s">
        <v>138</v>
      </c>
      <c r="C63" s="65" t="s">
        <v>39</v>
      </c>
      <c r="D63" s="65" t="s">
        <v>12</v>
      </c>
      <c r="E63" s="65">
        <v>2.22549019607843</v>
      </c>
      <c r="F63" s="65">
        <v>0.973987036580921</v>
      </c>
      <c r="G63" s="65">
        <v>102.0</v>
      </c>
      <c r="H63" s="65">
        <v>3.73267326732673</v>
      </c>
      <c r="I63" s="65">
        <v>1.77702610621741</v>
      </c>
      <c r="J63" s="65">
        <v>101.0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4" t="s">
        <v>143</v>
      </c>
      <c r="B64" s="65" t="s">
        <v>144</v>
      </c>
      <c r="C64" s="65" t="s">
        <v>39</v>
      </c>
      <c r="D64" s="65" t="s">
        <v>12</v>
      </c>
      <c r="E64" s="65">
        <v>2.23529411764706</v>
      </c>
      <c r="F64" s="65">
        <v>1.04527669924516</v>
      </c>
      <c r="G64" s="65">
        <v>102.0</v>
      </c>
      <c r="H64" s="65">
        <v>4.12871287128713</v>
      </c>
      <c r="I64" s="65">
        <v>1.82023826097922</v>
      </c>
      <c r="J64" s="65">
        <v>101.0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7" t="s">
        <v>747</v>
      </c>
      <c r="B65" s="68" t="s">
        <v>748</v>
      </c>
      <c r="C65" s="68" t="s">
        <v>39</v>
      </c>
      <c r="D65" s="68" t="s">
        <v>46</v>
      </c>
      <c r="E65" s="68">
        <v>4.12962962962963</v>
      </c>
      <c r="F65" s="68">
        <v>0.843807487817605</v>
      </c>
      <c r="G65" s="68">
        <v>108.0</v>
      </c>
      <c r="H65" s="68">
        <v>2.25</v>
      </c>
      <c r="I65" s="68">
        <v>1.39868176495286</v>
      </c>
      <c r="J65" s="68">
        <v>104.0</v>
      </c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7" t="s">
        <v>870</v>
      </c>
      <c r="B66" s="68" t="s">
        <v>871</v>
      </c>
      <c r="C66" s="68" t="s">
        <v>39</v>
      </c>
      <c r="D66" s="68" t="s">
        <v>12</v>
      </c>
      <c r="E66" s="68">
        <v>4.36633663366337</v>
      </c>
      <c r="F66" s="68">
        <v>1.18930881000039</v>
      </c>
      <c r="G66" s="68">
        <v>101.0</v>
      </c>
      <c r="H66" s="68">
        <v>4.40776699029126</v>
      </c>
      <c r="I66" s="68">
        <v>1.68869884476524</v>
      </c>
      <c r="J66" s="68">
        <v>103.0</v>
      </c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7" t="s">
        <v>987</v>
      </c>
      <c r="B67" s="68" t="s">
        <v>988</v>
      </c>
      <c r="C67" s="68" t="s">
        <v>39</v>
      </c>
      <c r="D67" s="68" t="s">
        <v>12</v>
      </c>
      <c r="E67" s="68">
        <v>4.56481481481481</v>
      </c>
      <c r="F67" s="68">
        <v>0.930010030577483</v>
      </c>
      <c r="G67" s="68">
        <v>108.0</v>
      </c>
      <c r="H67" s="68">
        <v>2.33653846153846</v>
      </c>
      <c r="I67" s="68">
        <v>1.51760271431833</v>
      </c>
      <c r="J67" s="68">
        <v>104.0</v>
      </c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7" t="s">
        <v>1074</v>
      </c>
      <c r="B68" s="68" t="s">
        <v>1075</v>
      </c>
      <c r="C68" s="68" t="s">
        <v>39</v>
      </c>
      <c r="D68" s="68" t="s">
        <v>12</v>
      </c>
      <c r="E68" s="68">
        <v>4.7037037037037</v>
      </c>
      <c r="F68" s="68">
        <v>1.22481552499408</v>
      </c>
      <c r="G68" s="68">
        <v>108.0</v>
      </c>
      <c r="H68" s="68">
        <v>3.49038461538462</v>
      </c>
      <c r="I68" s="68">
        <v>1.80611255714626</v>
      </c>
      <c r="J68" s="68">
        <v>104.0</v>
      </c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7" t="s">
        <v>1127</v>
      </c>
      <c r="B69" s="68" t="s">
        <v>1128</v>
      </c>
      <c r="C69" s="68" t="s">
        <v>39</v>
      </c>
      <c r="D69" s="68" t="s">
        <v>12</v>
      </c>
      <c r="E69" s="68">
        <v>4.7962962962963</v>
      </c>
      <c r="F69" s="68">
        <v>1.13367535001802</v>
      </c>
      <c r="G69" s="68">
        <v>108.0</v>
      </c>
      <c r="H69" s="68">
        <v>3.17307692307692</v>
      </c>
      <c r="I69" s="68">
        <v>1.82986183197598</v>
      </c>
      <c r="J69" s="68">
        <v>104.0</v>
      </c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7" t="s">
        <v>1184</v>
      </c>
      <c r="B70" s="68" t="s">
        <v>1185</v>
      </c>
      <c r="C70" s="68" t="s">
        <v>39</v>
      </c>
      <c r="D70" s="68" t="s">
        <v>12</v>
      </c>
      <c r="E70" s="68">
        <v>4.89814814814815</v>
      </c>
      <c r="F70" s="68">
        <v>1.03164703460788</v>
      </c>
      <c r="G70" s="68">
        <v>108.0</v>
      </c>
      <c r="H70" s="68">
        <v>2.5</v>
      </c>
      <c r="I70" s="68">
        <v>1.52646555394435</v>
      </c>
      <c r="J70" s="68">
        <v>104.0</v>
      </c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7" t="s">
        <v>1233</v>
      </c>
      <c r="B71" s="68" t="s">
        <v>1234</v>
      </c>
      <c r="C71" s="68" t="s">
        <v>39</v>
      </c>
      <c r="D71" s="68" t="s">
        <v>12</v>
      </c>
      <c r="E71" s="68">
        <v>5.00980392156863</v>
      </c>
      <c r="F71" s="68">
        <v>1.22268247571482</v>
      </c>
      <c r="G71" s="68">
        <v>102.0</v>
      </c>
      <c r="H71" s="68">
        <v>2.73267326732673</v>
      </c>
      <c r="I71" s="68">
        <v>1.59305423077126</v>
      </c>
      <c r="J71" s="68">
        <v>101.0</v>
      </c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7" t="s">
        <v>1263</v>
      </c>
      <c r="B72" s="68" t="s">
        <v>1264</v>
      </c>
      <c r="C72" s="68" t="s">
        <v>39</v>
      </c>
      <c r="D72" s="68" t="s">
        <v>12</v>
      </c>
      <c r="E72" s="68">
        <v>5.05882352941176</v>
      </c>
      <c r="F72" s="68">
        <v>0.942122413392826</v>
      </c>
      <c r="G72" s="68">
        <v>102.0</v>
      </c>
      <c r="H72" s="68">
        <v>3.30693069306931</v>
      </c>
      <c r="I72" s="68">
        <v>1.73056392113915</v>
      </c>
      <c r="J72" s="68">
        <v>101.0</v>
      </c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7" t="s">
        <v>1325</v>
      </c>
      <c r="B73" s="68" t="s">
        <v>1326</v>
      </c>
      <c r="C73" s="68" t="s">
        <v>39</v>
      </c>
      <c r="D73" s="68" t="s">
        <v>12</v>
      </c>
      <c r="E73" s="68">
        <v>5.15841584158416</v>
      </c>
      <c r="F73" s="68">
        <v>1.07454802840382</v>
      </c>
      <c r="G73" s="68">
        <v>101.0</v>
      </c>
      <c r="H73" s="68">
        <v>2.85436893203884</v>
      </c>
      <c r="I73" s="68">
        <v>1.79546141860302</v>
      </c>
      <c r="J73" s="68">
        <v>103.0</v>
      </c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</cols>
  <sheetData>
    <row r="1">
      <c r="A1" s="70"/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30" t="s">
        <v>1843</v>
      </c>
      <c r="B2" s="31" t="s">
        <v>1844</v>
      </c>
      <c r="C2" s="31" t="s">
        <v>11</v>
      </c>
      <c r="D2" s="31" t="s">
        <v>46</v>
      </c>
      <c r="E2" s="31">
        <v>1.1980198019802</v>
      </c>
      <c r="F2" s="31">
        <v>0.735116344263927</v>
      </c>
      <c r="G2" s="31">
        <v>101.0</v>
      </c>
      <c r="H2" s="31">
        <v>4.51456310679612</v>
      </c>
      <c r="I2" s="31">
        <v>2.48471435873581</v>
      </c>
      <c r="J2" s="31">
        <v>103.0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71" t="s">
        <v>1807</v>
      </c>
      <c r="B3" s="72" t="s">
        <v>1808</v>
      </c>
      <c r="C3" s="72" t="s">
        <v>11</v>
      </c>
      <c r="D3" s="72" t="s">
        <v>12</v>
      </c>
      <c r="E3" s="72">
        <v>1.3921568627451</v>
      </c>
      <c r="F3" s="72">
        <v>0.88055858447636</v>
      </c>
      <c r="G3" s="72">
        <v>102.0</v>
      </c>
      <c r="H3" s="72">
        <v>5.01980198019802</v>
      </c>
      <c r="I3" s="72">
        <v>2.06872036785933</v>
      </c>
      <c r="J3" s="72">
        <v>101.0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30" t="s">
        <v>1799</v>
      </c>
      <c r="B4" s="31" t="s">
        <v>1800</v>
      </c>
      <c r="C4" s="31" t="s">
        <v>11</v>
      </c>
      <c r="D4" s="31" t="s">
        <v>46</v>
      </c>
      <c r="E4" s="31">
        <v>1.67326732673267</v>
      </c>
      <c r="F4" s="31">
        <v>0.906740435748722</v>
      </c>
      <c r="G4" s="31">
        <v>101.0</v>
      </c>
      <c r="H4" s="31">
        <v>4.36893203883495</v>
      </c>
      <c r="I4" s="31">
        <v>2.33048968708521</v>
      </c>
      <c r="J4" s="31">
        <v>103.0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1" t="s">
        <v>1752</v>
      </c>
      <c r="B5" s="72" t="s">
        <v>1753</v>
      </c>
      <c r="C5" s="72" t="s">
        <v>11</v>
      </c>
      <c r="D5" s="72" t="s">
        <v>12</v>
      </c>
      <c r="E5" s="72">
        <v>2.38888888888889</v>
      </c>
      <c r="F5" s="72">
        <v>1.25923380749226</v>
      </c>
      <c r="G5" s="72">
        <v>108.0</v>
      </c>
      <c r="H5" s="72">
        <v>4.56730769230769</v>
      </c>
      <c r="I5" s="72">
        <v>1.75579165381054</v>
      </c>
      <c r="J5" s="72">
        <v>104.0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1" t="s">
        <v>1711</v>
      </c>
      <c r="B6" s="72" t="s">
        <v>1712</v>
      </c>
      <c r="C6" s="72" t="s">
        <v>11</v>
      </c>
      <c r="D6" s="72" t="s">
        <v>12</v>
      </c>
      <c r="E6" s="72">
        <v>2.50925925925926</v>
      </c>
      <c r="F6" s="72">
        <v>1.20354127295571</v>
      </c>
      <c r="G6" s="72">
        <v>108.0</v>
      </c>
      <c r="H6" s="72">
        <v>3.93269230769231</v>
      </c>
      <c r="I6" s="72">
        <v>1.77503957607691</v>
      </c>
      <c r="J6" s="72">
        <v>104.0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1" t="s">
        <v>1631</v>
      </c>
      <c r="B7" s="72" t="s">
        <v>1632</v>
      </c>
      <c r="C7" s="72" t="s">
        <v>11</v>
      </c>
      <c r="D7" s="72" t="s">
        <v>12</v>
      </c>
      <c r="E7" s="72">
        <v>2.82178217821782</v>
      </c>
      <c r="F7" s="72">
        <v>1.12601988973517</v>
      </c>
      <c r="G7" s="72">
        <v>101.0</v>
      </c>
      <c r="H7" s="72">
        <v>3.6504854368932</v>
      </c>
      <c r="I7" s="72">
        <v>1.79710408584869</v>
      </c>
      <c r="J7" s="72">
        <v>103.0</v>
      </c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4" t="s">
        <v>1004</v>
      </c>
      <c r="B8" s="75" t="s">
        <v>1005</v>
      </c>
      <c r="C8" s="75" t="s">
        <v>11</v>
      </c>
      <c r="D8" s="75" t="s">
        <v>12</v>
      </c>
      <c r="E8" s="75">
        <v>4.76851851851852</v>
      </c>
      <c r="F8" s="75">
        <v>1.19661892435359</v>
      </c>
      <c r="G8" s="75">
        <v>108.0</v>
      </c>
      <c r="H8" s="75">
        <v>3.57692307692308</v>
      </c>
      <c r="I8" s="75">
        <v>1.59302062525003</v>
      </c>
      <c r="J8" s="75">
        <v>104.0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4" t="s">
        <v>945</v>
      </c>
      <c r="B9" s="75" t="s">
        <v>946</v>
      </c>
      <c r="C9" s="75" t="s">
        <v>11</v>
      </c>
      <c r="D9" s="75" t="s">
        <v>12</v>
      </c>
      <c r="E9" s="75">
        <v>4.83333333333333</v>
      </c>
      <c r="F9" s="75">
        <v>1.1864193015439</v>
      </c>
      <c r="G9" s="75">
        <v>102.0</v>
      </c>
      <c r="H9" s="75">
        <v>4.2970297029703</v>
      </c>
      <c r="I9" s="75">
        <v>1.57825571093816</v>
      </c>
      <c r="J9" s="75">
        <v>101.0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4" t="s">
        <v>909</v>
      </c>
      <c r="B10" s="75" t="s">
        <v>910</v>
      </c>
      <c r="C10" s="75" t="s">
        <v>11</v>
      </c>
      <c r="D10" s="75" t="s">
        <v>12</v>
      </c>
      <c r="E10" s="75">
        <v>4.87128712871287</v>
      </c>
      <c r="F10" s="75">
        <v>1.11052569836662</v>
      </c>
      <c r="G10" s="75">
        <v>101.0</v>
      </c>
      <c r="H10" s="75">
        <v>3.00970873786408</v>
      </c>
      <c r="I10" s="75">
        <v>1.41764196391899</v>
      </c>
      <c r="J10" s="75">
        <v>103.0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4" t="s">
        <v>823</v>
      </c>
      <c r="B11" s="75" t="s">
        <v>824</v>
      </c>
      <c r="C11" s="75" t="s">
        <v>11</v>
      </c>
      <c r="D11" s="75" t="s">
        <v>46</v>
      </c>
      <c r="E11" s="75">
        <v>4.99074074074074</v>
      </c>
      <c r="F11" s="75">
        <v>1.08080422090782</v>
      </c>
      <c r="G11" s="75">
        <v>108.0</v>
      </c>
      <c r="H11" s="75">
        <v>4.11538461538461</v>
      </c>
      <c r="I11" s="75">
        <v>1.65058208213288</v>
      </c>
      <c r="J11" s="75">
        <v>104.0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4" t="s">
        <v>649</v>
      </c>
      <c r="B12" s="75" t="s">
        <v>650</v>
      </c>
      <c r="C12" s="75" t="s">
        <v>11</v>
      </c>
      <c r="D12" s="75" t="s">
        <v>12</v>
      </c>
      <c r="E12" s="75">
        <v>5.1078431372549</v>
      </c>
      <c r="F12" s="75">
        <v>1.01383364918499</v>
      </c>
      <c r="G12" s="75">
        <v>102.0</v>
      </c>
      <c r="H12" s="75">
        <v>3.37623762376238</v>
      </c>
      <c r="I12" s="75">
        <v>1.59907151277555</v>
      </c>
      <c r="J12" s="75">
        <v>101.0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4" t="s">
        <v>606</v>
      </c>
      <c r="B13" s="75" t="s">
        <v>607</v>
      </c>
      <c r="C13" s="75" t="s">
        <v>11</v>
      </c>
      <c r="D13" s="75" t="s">
        <v>12</v>
      </c>
      <c r="E13" s="75">
        <v>5.14705882352941</v>
      </c>
      <c r="F13" s="75">
        <v>1.1292427921551</v>
      </c>
      <c r="G13" s="75">
        <v>102.0</v>
      </c>
      <c r="H13" s="75">
        <v>3.14851485148515</v>
      </c>
      <c r="I13" s="75">
        <v>1.38120337831806</v>
      </c>
      <c r="J13" s="75">
        <v>101.0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11" t="s">
        <v>93</v>
      </c>
      <c r="B14" s="12" t="s">
        <v>94</v>
      </c>
      <c r="C14" s="12" t="s">
        <v>15</v>
      </c>
      <c r="D14" s="12" t="s">
        <v>46</v>
      </c>
      <c r="E14" s="12">
        <v>2.00980392156863</v>
      </c>
      <c r="F14" s="12">
        <v>1.02922731797387</v>
      </c>
      <c r="G14" s="12">
        <v>102.0</v>
      </c>
      <c r="H14" s="12">
        <v>3.52475247524752</v>
      </c>
      <c r="I14" s="12">
        <v>2.05715366176638</v>
      </c>
      <c r="J14" s="12">
        <v>101.0</v>
      </c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8" t="s">
        <v>76</v>
      </c>
      <c r="B15" s="79" t="s">
        <v>77</v>
      </c>
      <c r="C15" s="79" t="s">
        <v>15</v>
      </c>
      <c r="D15" s="79" t="s">
        <v>12</v>
      </c>
      <c r="E15" s="79">
        <v>1.91666666666667</v>
      </c>
      <c r="F15" s="79">
        <v>0.977551776958906</v>
      </c>
      <c r="G15" s="79">
        <v>108.0</v>
      </c>
      <c r="H15" s="79">
        <v>4.17307692307692</v>
      </c>
      <c r="I15" s="79">
        <v>2.0310325830101</v>
      </c>
      <c r="J15" s="79">
        <v>104.0</v>
      </c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8" t="s">
        <v>87</v>
      </c>
      <c r="B16" s="79" t="s">
        <v>88</v>
      </c>
      <c r="C16" s="79" t="s">
        <v>15</v>
      </c>
      <c r="D16" s="79" t="s">
        <v>12</v>
      </c>
      <c r="E16" s="79">
        <v>1.97222222222222</v>
      </c>
      <c r="F16" s="79">
        <v>1.00891663311974</v>
      </c>
      <c r="G16" s="79">
        <v>108.0</v>
      </c>
      <c r="H16" s="79">
        <v>4.08653846153846</v>
      </c>
      <c r="I16" s="79">
        <v>1.83869189953591</v>
      </c>
      <c r="J16" s="79">
        <v>104.0</v>
      </c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8" t="s">
        <v>161</v>
      </c>
      <c r="B17" s="79" t="s">
        <v>162</v>
      </c>
      <c r="C17" s="79" t="s">
        <v>15</v>
      </c>
      <c r="D17" s="79" t="s">
        <v>12</v>
      </c>
      <c r="E17" s="79">
        <v>2.33333333333333</v>
      </c>
      <c r="F17" s="79">
        <v>1.06779535299975</v>
      </c>
      <c r="G17" s="79">
        <v>108.0</v>
      </c>
      <c r="H17" s="79">
        <v>4.16346153846154</v>
      </c>
      <c r="I17" s="79">
        <v>1.80673269939137</v>
      </c>
      <c r="J17" s="79">
        <v>104.0</v>
      </c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8" t="s">
        <v>222</v>
      </c>
      <c r="B18" s="79" t="s">
        <v>223</v>
      </c>
      <c r="C18" s="79" t="s">
        <v>15</v>
      </c>
      <c r="D18" s="79" t="s">
        <v>12</v>
      </c>
      <c r="E18" s="79">
        <v>2.59803921568627</v>
      </c>
      <c r="F18" s="79">
        <v>1.32201319567394</v>
      </c>
      <c r="G18" s="79">
        <v>102.0</v>
      </c>
      <c r="H18" s="79">
        <v>4.00990099009901</v>
      </c>
      <c r="I18" s="79">
        <v>1.70584319036042</v>
      </c>
      <c r="J18" s="79">
        <v>101.0</v>
      </c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8" t="s">
        <v>333</v>
      </c>
      <c r="B19" s="79" t="s">
        <v>334</v>
      </c>
      <c r="C19" s="79" t="s">
        <v>15</v>
      </c>
      <c r="D19" s="79" t="s">
        <v>12</v>
      </c>
      <c r="E19" s="79">
        <v>2.92156862745098</v>
      </c>
      <c r="F19" s="79">
        <v>1.53948862867444</v>
      </c>
      <c r="G19" s="79">
        <v>102.0</v>
      </c>
      <c r="H19" s="79">
        <v>4.11881188118812</v>
      </c>
      <c r="I19" s="79">
        <v>1.80713656768309</v>
      </c>
      <c r="J19" s="79">
        <v>101.0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80" t="s">
        <v>809</v>
      </c>
      <c r="B20" s="81" t="s">
        <v>810</v>
      </c>
      <c r="C20" s="81" t="s">
        <v>15</v>
      </c>
      <c r="D20" s="81" t="s">
        <v>12</v>
      </c>
      <c r="E20" s="81">
        <v>4.25742574257426</v>
      </c>
      <c r="F20" s="81">
        <v>0.687800339437757</v>
      </c>
      <c r="G20" s="81">
        <v>101.0</v>
      </c>
      <c r="H20" s="81">
        <v>2.20388349514563</v>
      </c>
      <c r="I20" s="81">
        <v>1.38166724592081</v>
      </c>
      <c r="J20" s="81">
        <v>103.0</v>
      </c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80" t="s">
        <v>957</v>
      </c>
      <c r="B21" s="81" t="s">
        <v>958</v>
      </c>
      <c r="C21" s="81" t="s">
        <v>15</v>
      </c>
      <c r="D21" s="81" t="s">
        <v>12</v>
      </c>
      <c r="E21" s="81">
        <v>4.53703703703704</v>
      </c>
      <c r="F21" s="81">
        <v>1.04502314892686</v>
      </c>
      <c r="G21" s="81">
        <v>108.0</v>
      </c>
      <c r="H21" s="81">
        <v>2.64423076923077</v>
      </c>
      <c r="I21" s="81">
        <v>1.63052358754159</v>
      </c>
      <c r="J21" s="81">
        <v>104.0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80" t="s">
        <v>989</v>
      </c>
      <c r="B22" s="81" t="s">
        <v>990</v>
      </c>
      <c r="C22" s="81" t="s">
        <v>15</v>
      </c>
      <c r="D22" s="81" t="s">
        <v>12</v>
      </c>
      <c r="E22" s="81">
        <v>4.56862745098039</v>
      </c>
      <c r="F22" s="81">
        <v>1.1389573477664</v>
      </c>
      <c r="G22" s="81">
        <v>102.0</v>
      </c>
      <c r="H22" s="81">
        <v>2.41584158415842</v>
      </c>
      <c r="I22" s="81">
        <v>1.36577689783268</v>
      </c>
      <c r="J22" s="81">
        <v>101.0</v>
      </c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80" t="s">
        <v>1107</v>
      </c>
      <c r="B23" s="81" t="s">
        <v>1108</v>
      </c>
      <c r="C23" s="81" t="s">
        <v>15</v>
      </c>
      <c r="D23" s="81" t="s">
        <v>12</v>
      </c>
      <c r="E23" s="81">
        <v>4.75490196078431</v>
      </c>
      <c r="F23" s="81">
        <v>0.958921367116694</v>
      </c>
      <c r="G23" s="81">
        <v>102.0</v>
      </c>
      <c r="H23" s="81">
        <v>2.30693069306931</v>
      </c>
      <c r="I23" s="81">
        <v>1.51487672275618</v>
      </c>
      <c r="J23" s="81">
        <v>101.0</v>
      </c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80" t="s">
        <v>1231</v>
      </c>
      <c r="B24" s="81" t="s">
        <v>1232</v>
      </c>
      <c r="C24" s="81" t="s">
        <v>15</v>
      </c>
      <c r="D24" s="81" t="s">
        <v>12</v>
      </c>
      <c r="E24" s="81">
        <v>5.0</v>
      </c>
      <c r="F24" s="81">
        <v>1.03923048454133</v>
      </c>
      <c r="G24" s="81">
        <v>101.0</v>
      </c>
      <c r="H24" s="81">
        <v>3.03883495145631</v>
      </c>
      <c r="I24" s="81">
        <v>1.74289780165152</v>
      </c>
      <c r="J24" s="81">
        <v>103.0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0" t="s">
        <v>1357</v>
      </c>
      <c r="B25" s="81" t="s">
        <v>1358</v>
      </c>
      <c r="C25" s="81" t="s">
        <v>15</v>
      </c>
      <c r="D25" s="81" t="s">
        <v>12</v>
      </c>
      <c r="E25" s="81">
        <v>5.22549019607843</v>
      </c>
      <c r="F25" s="81">
        <v>1.28129623989083</v>
      </c>
      <c r="G25" s="81">
        <v>102.0</v>
      </c>
      <c r="H25" s="81">
        <v>4.32673267326733</v>
      </c>
      <c r="I25" s="81">
        <v>1.88206753806068</v>
      </c>
      <c r="J25" s="81">
        <v>101.0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14" t="s">
        <v>72</v>
      </c>
      <c r="B26" s="15" t="s">
        <v>73</v>
      </c>
      <c r="C26" s="15" t="s">
        <v>25</v>
      </c>
      <c r="D26" s="15" t="s">
        <v>46</v>
      </c>
      <c r="E26" s="15">
        <v>1.8921568627451</v>
      </c>
      <c r="F26" s="15">
        <v>1.08003357799927</v>
      </c>
      <c r="G26" s="15">
        <v>102.0</v>
      </c>
      <c r="H26" s="15">
        <v>4.77227722772277</v>
      </c>
      <c r="I26" s="15">
        <v>2.15815285889954</v>
      </c>
      <c r="J26" s="15">
        <v>101.0</v>
      </c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84" t="s">
        <v>111</v>
      </c>
      <c r="B27" s="85" t="s">
        <v>112</v>
      </c>
      <c r="C27" s="85" t="s">
        <v>25</v>
      </c>
      <c r="D27" s="85" t="s">
        <v>12</v>
      </c>
      <c r="E27" s="85">
        <v>2.05882352941176</v>
      </c>
      <c r="F27" s="85">
        <v>1.17585889747351</v>
      </c>
      <c r="G27" s="85">
        <v>102.0</v>
      </c>
      <c r="H27" s="85">
        <v>4.34653465346535</v>
      </c>
      <c r="I27" s="85">
        <v>2.1745603857532</v>
      </c>
      <c r="J27" s="85">
        <v>101.0</v>
      </c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84" t="s">
        <v>158</v>
      </c>
      <c r="B28" s="85" t="s">
        <v>159</v>
      </c>
      <c r="C28" s="85" t="s">
        <v>25</v>
      </c>
      <c r="D28" s="85" t="s">
        <v>160</v>
      </c>
      <c r="E28" s="85">
        <v>2.32407407407407</v>
      </c>
      <c r="F28" s="85">
        <v>1.1007958353379</v>
      </c>
      <c r="G28" s="85">
        <v>108.0</v>
      </c>
      <c r="H28" s="85">
        <v>3.81730769230769</v>
      </c>
      <c r="I28" s="85">
        <v>2.01337480812652</v>
      </c>
      <c r="J28" s="85">
        <v>104.0</v>
      </c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84" t="s">
        <v>244</v>
      </c>
      <c r="B29" s="85" t="s">
        <v>245</v>
      </c>
      <c r="C29" s="85" t="s">
        <v>25</v>
      </c>
      <c r="D29" s="85" t="s">
        <v>46</v>
      </c>
      <c r="E29" s="85">
        <v>2.64705882352941</v>
      </c>
      <c r="F29" s="85">
        <v>1.27928707577623</v>
      </c>
      <c r="G29" s="85">
        <v>102.0</v>
      </c>
      <c r="H29" s="85">
        <v>5.08910891089109</v>
      </c>
      <c r="I29" s="85">
        <v>1.56268365257329</v>
      </c>
      <c r="J29" s="85">
        <v>101.0</v>
      </c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84" t="s">
        <v>266</v>
      </c>
      <c r="B30" s="85" t="s">
        <v>267</v>
      </c>
      <c r="C30" s="85" t="s">
        <v>25</v>
      </c>
      <c r="D30" s="85" t="s">
        <v>46</v>
      </c>
      <c r="E30" s="85">
        <v>2.72222222222222</v>
      </c>
      <c r="F30" s="85">
        <v>1.2367679716003</v>
      </c>
      <c r="G30" s="85">
        <v>108.0</v>
      </c>
      <c r="H30" s="85">
        <v>3.76923076923077</v>
      </c>
      <c r="I30" s="85">
        <v>2.0537948263999</v>
      </c>
      <c r="J30" s="85">
        <v>104.0</v>
      </c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84" t="s">
        <v>325</v>
      </c>
      <c r="B31" s="85" t="s">
        <v>326</v>
      </c>
      <c r="C31" s="85" t="s">
        <v>25</v>
      </c>
      <c r="D31" s="85" t="s">
        <v>12</v>
      </c>
      <c r="E31" s="85">
        <v>2.90196078431373</v>
      </c>
      <c r="F31" s="85">
        <v>1.4177782362414</v>
      </c>
      <c r="G31" s="85">
        <v>102.0</v>
      </c>
      <c r="H31" s="85">
        <v>4.7029702970297</v>
      </c>
      <c r="I31" s="85">
        <v>1.93672173765591</v>
      </c>
      <c r="J31" s="85">
        <v>101.0</v>
      </c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86" t="s">
        <v>716</v>
      </c>
      <c r="B32" s="87" t="s">
        <v>717</v>
      </c>
      <c r="C32" s="87" t="s">
        <v>25</v>
      </c>
      <c r="D32" s="87" t="s">
        <v>46</v>
      </c>
      <c r="E32" s="87">
        <v>4.06862745098039</v>
      </c>
      <c r="F32" s="87">
        <v>1.276286413133</v>
      </c>
      <c r="G32" s="87">
        <v>102.0</v>
      </c>
      <c r="H32" s="87">
        <v>4.44554455445545</v>
      </c>
      <c r="I32" s="87">
        <v>1.72322515954679</v>
      </c>
      <c r="J32" s="87">
        <v>101.0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86" t="s">
        <v>896</v>
      </c>
      <c r="B33" s="87" t="s">
        <v>897</v>
      </c>
      <c r="C33" s="87" t="s">
        <v>25</v>
      </c>
      <c r="D33" s="87" t="s">
        <v>898</v>
      </c>
      <c r="E33" s="87">
        <v>4.41666666666667</v>
      </c>
      <c r="F33" s="87">
        <v>1.31933854851872</v>
      </c>
      <c r="G33" s="87">
        <v>108.0</v>
      </c>
      <c r="H33" s="87">
        <v>3.77884615384615</v>
      </c>
      <c r="I33" s="87">
        <v>1.72337854436265</v>
      </c>
      <c r="J33" s="87">
        <v>104.0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86" t="s">
        <v>1072</v>
      </c>
      <c r="B34" s="87" t="s">
        <v>1073</v>
      </c>
      <c r="C34" s="87" t="s">
        <v>25</v>
      </c>
      <c r="D34" s="87" t="s">
        <v>46</v>
      </c>
      <c r="E34" s="87">
        <v>4.69444444444444</v>
      </c>
      <c r="F34" s="87">
        <v>1.28585644271717</v>
      </c>
      <c r="G34" s="87">
        <v>108.0</v>
      </c>
      <c r="H34" s="87">
        <v>3.20192307692308</v>
      </c>
      <c r="I34" s="87">
        <v>1.75919116284259</v>
      </c>
      <c r="J34" s="87">
        <v>104.0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86" t="s">
        <v>1105</v>
      </c>
      <c r="B35" s="87" t="s">
        <v>1106</v>
      </c>
      <c r="C35" s="87" t="s">
        <v>25</v>
      </c>
      <c r="D35" s="87" t="s">
        <v>12</v>
      </c>
      <c r="E35" s="87">
        <v>4.75490196078431</v>
      </c>
      <c r="F35" s="87">
        <v>1.12078715717093</v>
      </c>
      <c r="G35" s="87">
        <v>102.0</v>
      </c>
      <c r="H35" s="87">
        <v>3.73267326732673</v>
      </c>
      <c r="I35" s="87">
        <v>1.64250472820574</v>
      </c>
      <c r="J35" s="87">
        <v>101.0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86" t="s">
        <v>1199</v>
      </c>
      <c r="B36" s="87" t="s">
        <v>1200</v>
      </c>
      <c r="C36" s="87" t="s">
        <v>25</v>
      </c>
      <c r="D36" s="87" t="s">
        <v>12</v>
      </c>
      <c r="E36" s="87">
        <v>4.94117647058824</v>
      </c>
      <c r="F36" s="87">
        <v>1.20085389925739</v>
      </c>
      <c r="G36" s="87">
        <v>102.0</v>
      </c>
      <c r="H36" s="87">
        <v>3.57425742574257</v>
      </c>
      <c r="I36" s="87">
        <v>1.68134787984798</v>
      </c>
      <c r="J36" s="87">
        <v>101.0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86" t="s">
        <v>1336</v>
      </c>
      <c r="B37" s="87" t="s">
        <v>1337</v>
      </c>
      <c r="C37" s="87" t="s">
        <v>25</v>
      </c>
      <c r="D37" s="87" t="s">
        <v>46</v>
      </c>
      <c r="E37" s="87">
        <v>5.18518518518519</v>
      </c>
      <c r="F37" s="87">
        <v>1.23914462619917</v>
      </c>
      <c r="G37" s="87">
        <v>108.0</v>
      </c>
      <c r="H37" s="87">
        <v>3.38461538461538</v>
      </c>
      <c r="I37" s="87">
        <v>1.71971826721587</v>
      </c>
      <c r="J37" s="87">
        <v>104.0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89" t="s">
        <v>37</v>
      </c>
      <c r="B38" s="90" t="s">
        <v>38</v>
      </c>
      <c r="C38" s="90" t="s">
        <v>39</v>
      </c>
      <c r="D38" s="90" t="s">
        <v>12</v>
      </c>
      <c r="E38" s="90">
        <v>1.47058823529412</v>
      </c>
      <c r="F38" s="90">
        <v>0.740696519312469</v>
      </c>
      <c r="G38" s="90">
        <v>102.0</v>
      </c>
      <c r="H38" s="90">
        <v>5.14851485148515</v>
      </c>
      <c r="I38" s="90">
        <v>1.88884164828003</v>
      </c>
      <c r="J38" s="90">
        <v>101.0</v>
      </c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>
      <c r="A39" s="89" t="s">
        <v>42</v>
      </c>
      <c r="B39" s="90" t="s">
        <v>43</v>
      </c>
      <c r="C39" s="90" t="s">
        <v>39</v>
      </c>
      <c r="D39" s="90" t="s">
        <v>12</v>
      </c>
      <c r="E39" s="90">
        <v>1.6078431372549</v>
      </c>
      <c r="F39" s="90">
        <v>0.82241930893244</v>
      </c>
      <c r="G39" s="90">
        <v>102.0</v>
      </c>
      <c r="H39" s="90">
        <v>4.98019801980198</v>
      </c>
      <c r="I39" s="90">
        <v>1.97979896969264</v>
      </c>
      <c r="J39" s="90">
        <v>101.0</v>
      </c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>
      <c r="A40" s="89" t="s">
        <v>51</v>
      </c>
      <c r="B40" s="90" t="s">
        <v>52</v>
      </c>
      <c r="C40" s="90" t="s">
        <v>39</v>
      </c>
      <c r="D40" s="90" t="s">
        <v>12</v>
      </c>
      <c r="E40" s="90">
        <v>1.7156862745098</v>
      </c>
      <c r="F40" s="90">
        <v>0.958313813919198</v>
      </c>
      <c r="G40" s="90">
        <v>102.0</v>
      </c>
      <c r="H40" s="90">
        <v>5.13861386138614</v>
      </c>
      <c r="I40" s="90">
        <v>1.76085037961944</v>
      </c>
      <c r="J40" s="90">
        <v>101.0</v>
      </c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>
      <c r="A41" s="8" t="s">
        <v>89</v>
      </c>
      <c r="B41" s="9" t="s">
        <v>90</v>
      </c>
      <c r="C41" s="9" t="s">
        <v>39</v>
      </c>
      <c r="D41" s="9" t="s">
        <v>46</v>
      </c>
      <c r="E41" s="9">
        <v>1.99009900990099</v>
      </c>
      <c r="F41" s="9">
        <v>0.83060278719675</v>
      </c>
      <c r="G41" s="9">
        <v>101.0</v>
      </c>
      <c r="H41" s="9">
        <v>4.21359223300971</v>
      </c>
      <c r="I41" s="9">
        <v>1.87684803273422</v>
      </c>
      <c r="J41" s="9">
        <v>103.0</v>
      </c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>
      <c r="A42" s="89" t="s">
        <v>119</v>
      </c>
      <c r="B42" s="90" t="s">
        <v>120</v>
      </c>
      <c r="C42" s="90" t="s">
        <v>39</v>
      </c>
      <c r="D42" s="90" t="s">
        <v>12</v>
      </c>
      <c r="E42" s="90">
        <v>2.09803921568627</v>
      </c>
      <c r="F42" s="90">
        <v>1.11257264906028</v>
      </c>
      <c r="G42" s="90">
        <v>102.0</v>
      </c>
      <c r="H42" s="90">
        <v>5.05940594059406</v>
      </c>
      <c r="I42" s="90">
        <v>1.91740335964146</v>
      </c>
      <c r="J42" s="90">
        <v>101.0</v>
      </c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>
      <c r="A43" s="89" t="s">
        <v>143</v>
      </c>
      <c r="B43" s="90" t="s">
        <v>144</v>
      </c>
      <c r="C43" s="90" t="s">
        <v>39</v>
      </c>
      <c r="D43" s="90" t="s">
        <v>12</v>
      </c>
      <c r="E43" s="90">
        <v>2.23529411764706</v>
      </c>
      <c r="F43" s="90">
        <v>1.04527669924516</v>
      </c>
      <c r="G43" s="90">
        <v>102.0</v>
      </c>
      <c r="H43" s="90">
        <v>4.12871287128713</v>
      </c>
      <c r="I43" s="90">
        <v>1.82023826097922</v>
      </c>
      <c r="J43" s="90">
        <v>101.0</v>
      </c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>
      <c r="A44" s="92" t="s">
        <v>747</v>
      </c>
      <c r="B44" s="93" t="s">
        <v>748</v>
      </c>
      <c r="C44" s="93" t="s">
        <v>39</v>
      </c>
      <c r="D44" s="93" t="s">
        <v>46</v>
      </c>
      <c r="E44" s="93">
        <v>4.12962962962963</v>
      </c>
      <c r="F44" s="93">
        <v>0.843807487817605</v>
      </c>
      <c r="G44" s="93">
        <v>108.0</v>
      </c>
      <c r="H44" s="93">
        <v>2.25</v>
      </c>
      <c r="I44" s="93">
        <v>1.39868176495286</v>
      </c>
      <c r="J44" s="93">
        <v>104.0</v>
      </c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>
      <c r="A45" s="92" t="s">
        <v>987</v>
      </c>
      <c r="B45" s="93" t="s">
        <v>988</v>
      </c>
      <c r="C45" s="93" t="s">
        <v>39</v>
      </c>
      <c r="D45" s="93" t="s">
        <v>12</v>
      </c>
      <c r="E45" s="93">
        <v>4.56481481481481</v>
      </c>
      <c r="F45" s="93">
        <v>0.930010030577483</v>
      </c>
      <c r="G45" s="93">
        <v>108.0</v>
      </c>
      <c r="H45" s="93">
        <v>2.33653846153846</v>
      </c>
      <c r="I45" s="93">
        <v>1.51760271431833</v>
      </c>
      <c r="J45" s="93">
        <v>104.0</v>
      </c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>
      <c r="A46" s="92" t="s">
        <v>1074</v>
      </c>
      <c r="B46" s="93" t="s">
        <v>1075</v>
      </c>
      <c r="C46" s="93" t="s">
        <v>39</v>
      </c>
      <c r="D46" s="93" t="s">
        <v>12</v>
      </c>
      <c r="E46" s="93">
        <v>4.7037037037037</v>
      </c>
      <c r="F46" s="93">
        <v>1.22481552499408</v>
      </c>
      <c r="G46" s="93">
        <v>108.0</v>
      </c>
      <c r="H46" s="93">
        <v>3.49038461538462</v>
      </c>
      <c r="I46" s="93">
        <v>1.80611255714626</v>
      </c>
      <c r="J46" s="93">
        <v>104.0</v>
      </c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>
      <c r="A47" s="92" t="s">
        <v>1184</v>
      </c>
      <c r="B47" s="93" t="s">
        <v>1185</v>
      </c>
      <c r="C47" s="93" t="s">
        <v>39</v>
      </c>
      <c r="D47" s="93" t="s">
        <v>12</v>
      </c>
      <c r="E47" s="93">
        <v>4.89814814814815</v>
      </c>
      <c r="F47" s="93">
        <v>1.03164703460788</v>
      </c>
      <c r="G47" s="93">
        <v>108.0</v>
      </c>
      <c r="H47" s="93">
        <v>2.5</v>
      </c>
      <c r="I47" s="93">
        <v>1.52646555394435</v>
      </c>
      <c r="J47" s="93">
        <v>104.0</v>
      </c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>
      <c r="A48" s="92" t="s">
        <v>1233</v>
      </c>
      <c r="B48" s="93" t="s">
        <v>1234</v>
      </c>
      <c r="C48" s="93" t="s">
        <v>39</v>
      </c>
      <c r="D48" s="93" t="s">
        <v>12</v>
      </c>
      <c r="E48" s="93">
        <v>5.00980392156863</v>
      </c>
      <c r="F48" s="93">
        <v>1.22268247571482</v>
      </c>
      <c r="G48" s="93">
        <v>102.0</v>
      </c>
      <c r="H48" s="93">
        <v>2.73267326732673</v>
      </c>
      <c r="I48" s="93">
        <v>1.59305423077126</v>
      </c>
      <c r="J48" s="93">
        <v>101.0</v>
      </c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>
      <c r="A49" s="92" t="s">
        <v>1325</v>
      </c>
      <c r="B49" s="93" t="s">
        <v>1326</v>
      </c>
      <c r="C49" s="93" t="s">
        <v>39</v>
      </c>
      <c r="D49" s="93" t="s">
        <v>12</v>
      </c>
      <c r="E49" s="93">
        <v>5.15841584158416</v>
      </c>
      <c r="F49" s="93">
        <v>1.07454802840382</v>
      </c>
      <c r="G49" s="93">
        <v>101.0</v>
      </c>
      <c r="H49" s="93">
        <v>2.85436893203884</v>
      </c>
      <c r="I49" s="93">
        <v>1.79546141860302</v>
      </c>
      <c r="J49" s="93">
        <v>103.0</v>
      </c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1">
      <c r="D51" s="95" t="s">
        <v>1887</v>
      </c>
      <c r="E51" s="96">
        <f>min(E2:E49)</f>
        <v>1.198019802</v>
      </c>
      <c r="G51" s="95" t="s">
        <v>1888</v>
      </c>
      <c r="H51" s="96">
        <f>min(H2:H49)</f>
        <v>2.203883495</v>
      </c>
    </row>
    <row r="52">
      <c r="D52" s="95" t="s">
        <v>1892</v>
      </c>
      <c r="E52" s="96">
        <f>max(E2:E49)</f>
        <v>5.225490196</v>
      </c>
      <c r="G52" s="95" t="s">
        <v>1893</v>
      </c>
      <c r="H52" s="96">
        <f>max(H2:H49)</f>
        <v>5.148514851</v>
      </c>
    </row>
    <row r="53">
      <c r="D53" s="95" t="s">
        <v>1899</v>
      </c>
      <c r="E53" s="96">
        <f>AVERAGE(E2:E49)</f>
        <v>3.458054935</v>
      </c>
      <c r="G53" s="95" t="s">
        <v>1900</v>
      </c>
      <c r="H53" s="96">
        <f>average(H2:H49)</f>
        <v>3.79247646</v>
      </c>
    </row>
  </sheetData>
  <autoFilter ref="$A$1:$Z$4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  <col customWidth="1" min="7" max="7" width="13.38"/>
  </cols>
  <sheetData>
    <row r="1">
      <c r="A1" s="70"/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71" t="s">
        <v>1835</v>
      </c>
      <c r="B2" s="72" t="s">
        <v>1836</v>
      </c>
      <c r="C2" s="72" t="s">
        <v>11</v>
      </c>
      <c r="D2" s="72" t="s">
        <v>46</v>
      </c>
      <c r="E2" s="72">
        <v>1.24752475247525</v>
      </c>
      <c r="F2" s="72">
        <v>0.698655002044062</v>
      </c>
      <c r="G2" s="72">
        <v>101.0</v>
      </c>
      <c r="H2" s="72">
        <v>4.47572815533981</v>
      </c>
      <c r="I2" s="72">
        <v>2.37158282626742</v>
      </c>
      <c r="J2" s="72">
        <v>103.0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1" t="s">
        <v>1760</v>
      </c>
      <c r="B3" s="72" t="s">
        <v>1761</v>
      </c>
      <c r="C3" s="72" t="s">
        <v>11</v>
      </c>
      <c r="D3" s="72" t="s">
        <v>12</v>
      </c>
      <c r="E3" s="72">
        <v>2.31481481481481</v>
      </c>
      <c r="F3" s="72">
        <v>0.903245944587621</v>
      </c>
      <c r="G3" s="72">
        <v>108.0</v>
      </c>
      <c r="H3" s="72">
        <v>4.25961538461539</v>
      </c>
      <c r="I3" s="72">
        <v>1.83808253989051</v>
      </c>
      <c r="J3" s="72">
        <v>104.0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71" t="s">
        <v>1679</v>
      </c>
      <c r="B4" s="72" t="s">
        <v>1680</v>
      </c>
      <c r="C4" s="72" t="s">
        <v>11</v>
      </c>
      <c r="D4" s="72" t="s">
        <v>12</v>
      </c>
      <c r="E4" s="72">
        <v>2.63725490196078</v>
      </c>
      <c r="F4" s="72">
        <v>0.865044103337111</v>
      </c>
      <c r="G4" s="72">
        <v>102.0</v>
      </c>
      <c r="H4" s="72">
        <v>3.48514851485149</v>
      </c>
      <c r="I4" s="72">
        <v>1.65899886308664</v>
      </c>
      <c r="J4" s="72">
        <v>101.0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4" t="s">
        <v>985</v>
      </c>
      <c r="B5" s="75" t="s">
        <v>986</v>
      </c>
      <c r="C5" s="75" t="s">
        <v>11</v>
      </c>
      <c r="D5" s="75" t="s">
        <v>12</v>
      </c>
      <c r="E5" s="75">
        <v>4.8019801980198</v>
      </c>
      <c r="F5" s="75">
        <v>1.28856355668006</v>
      </c>
      <c r="G5" s="75">
        <v>101.0</v>
      </c>
      <c r="H5" s="75">
        <v>3.66990291262136</v>
      </c>
      <c r="I5" s="75">
        <v>1.530015695899</v>
      </c>
      <c r="J5" s="75">
        <v>103.0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4" t="s">
        <v>852</v>
      </c>
      <c r="B6" s="75" t="s">
        <v>853</v>
      </c>
      <c r="C6" s="75" t="s">
        <v>11</v>
      </c>
      <c r="D6" s="75" t="s">
        <v>12</v>
      </c>
      <c r="E6" s="75">
        <v>4.96078431372549</v>
      </c>
      <c r="F6" s="75">
        <v>1.09834771160734</v>
      </c>
      <c r="G6" s="75">
        <v>102.0</v>
      </c>
      <c r="H6" s="75">
        <v>4.28712871287129</v>
      </c>
      <c r="I6" s="75">
        <v>1.6330133720418</v>
      </c>
      <c r="J6" s="75">
        <v>101.0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4" t="s">
        <v>608</v>
      </c>
      <c r="B7" s="75" t="s">
        <v>609</v>
      </c>
      <c r="C7" s="75" t="s">
        <v>11</v>
      </c>
      <c r="D7" s="75" t="s">
        <v>12</v>
      </c>
      <c r="E7" s="75">
        <v>5.13725490196078</v>
      </c>
      <c r="F7" s="75">
        <v>1.15217586396799</v>
      </c>
      <c r="G7" s="75">
        <v>102.0</v>
      </c>
      <c r="H7" s="75">
        <v>3.67326732673267</v>
      </c>
      <c r="I7" s="75">
        <v>1.59442096631404</v>
      </c>
      <c r="J7" s="75">
        <v>101.0</v>
      </c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8" t="s">
        <v>67</v>
      </c>
      <c r="B8" s="79" t="s">
        <v>68</v>
      </c>
      <c r="C8" s="79" t="s">
        <v>15</v>
      </c>
      <c r="D8" s="79" t="s">
        <v>69</v>
      </c>
      <c r="E8" s="79">
        <v>1.84313725490196</v>
      </c>
      <c r="F8" s="79">
        <v>1.06003080507466</v>
      </c>
      <c r="G8" s="79">
        <v>102.0</v>
      </c>
      <c r="H8" s="79">
        <v>4.54455445544554</v>
      </c>
      <c r="I8" s="79">
        <v>1.93661949011801</v>
      </c>
      <c r="J8" s="79">
        <v>101.0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8" t="s">
        <v>127</v>
      </c>
      <c r="B9" s="79" t="s">
        <v>128</v>
      </c>
      <c r="C9" s="79" t="s">
        <v>15</v>
      </c>
      <c r="D9" s="79" t="s">
        <v>46</v>
      </c>
      <c r="E9" s="79">
        <v>2.13725490196078</v>
      </c>
      <c r="F9" s="79">
        <v>1.03444839355868</v>
      </c>
      <c r="G9" s="79">
        <v>102.0</v>
      </c>
      <c r="H9" s="79">
        <v>3.06930693069307</v>
      </c>
      <c r="I9" s="79">
        <v>1.94554581412299</v>
      </c>
      <c r="J9" s="79">
        <v>101.0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8" t="s">
        <v>232</v>
      </c>
      <c r="B10" s="79" t="s">
        <v>233</v>
      </c>
      <c r="C10" s="79" t="s">
        <v>15</v>
      </c>
      <c r="D10" s="79" t="s">
        <v>12</v>
      </c>
      <c r="E10" s="79">
        <v>2.62037037037037</v>
      </c>
      <c r="F10" s="79">
        <v>1.18177430829638</v>
      </c>
      <c r="G10" s="79">
        <v>108.0</v>
      </c>
      <c r="H10" s="79">
        <v>3.18269230769231</v>
      </c>
      <c r="I10" s="79">
        <v>1.68237247573916</v>
      </c>
      <c r="J10" s="79">
        <v>104.0</v>
      </c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80" t="s">
        <v>858</v>
      </c>
      <c r="B11" s="81" t="s">
        <v>859</v>
      </c>
      <c r="C11" s="81" t="s">
        <v>15</v>
      </c>
      <c r="D11" s="81" t="s">
        <v>12</v>
      </c>
      <c r="E11" s="81">
        <v>4.33333333333333</v>
      </c>
      <c r="F11" s="81">
        <v>0.998348471209826</v>
      </c>
      <c r="G11" s="81">
        <v>102.0</v>
      </c>
      <c r="H11" s="81">
        <v>2.10891089108911</v>
      </c>
      <c r="I11" s="81">
        <v>1.45534181619996</v>
      </c>
      <c r="J11" s="81">
        <v>101.0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0" t="s">
        <v>1056</v>
      </c>
      <c r="B12" s="81" t="s">
        <v>1057</v>
      </c>
      <c r="C12" s="81" t="s">
        <v>15</v>
      </c>
      <c r="D12" s="81" t="s">
        <v>12</v>
      </c>
      <c r="E12" s="81">
        <v>4.67647058823529</v>
      </c>
      <c r="F12" s="81">
        <v>0.956082815770439</v>
      </c>
      <c r="G12" s="81">
        <v>102.0</v>
      </c>
      <c r="H12" s="81">
        <v>2.41584158415842</v>
      </c>
      <c r="I12" s="81">
        <v>1.48504092019495</v>
      </c>
      <c r="J12" s="81">
        <v>101.0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0" t="s">
        <v>1247</v>
      </c>
      <c r="B13" s="81" t="s">
        <v>1248</v>
      </c>
      <c r="C13" s="81" t="s">
        <v>15</v>
      </c>
      <c r="D13" s="81" t="s">
        <v>12</v>
      </c>
      <c r="E13" s="81">
        <v>5.03921568627451</v>
      </c>
      <c r="F13" s="81">
        <v>1.35647744615593</v>
      </c>
      <c r="G13" s="81">
        <v>102.0</v>
      </c>
      <c r="H13" s="81">
        <v>3.36633663366337</v>
      </c>
      <c r="I13" s="81">
        <v>1.48810464872083</v>
      </c>
      <c r="J13" s="81">
        <v>101.0</v>
      </c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14" t="s">
        <v>115</v>
      </c>
      <c r="B14" s="15" t="s">
        <v>116</v>
      </c>
      <c r="C14" s="15" t="s">
        <v>25</v>
      </c>
      <c r="D14" s="15" t="s">
        <v>46</v>
      </c>
      <c r="E14" s="15">
        <v>2.08333333333333</v>
      </c>
      <c r="F14" s="15">
        <v>1.10330853328802</v>
      </c>
      <c r="G14" s="15">
        <v>108.0</v>
      </c>
      <c r="H14" s="15">
        <v>4.20192307692308</v>
      </c>
      <c r="I14" s="15">
        <v>1.97252884700777</v>
      </c>
      <c r="J14" s="15">
        <v>104.0</v>
      </c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84" t="s">
        <v>171</v>
      </c>
      <c r="B15" s="85" t="s">
        <v>172</v>
      </c>
      <c r="C15" s="85" t="s">
        <v>25</v>
      </c>
      <c r="D15" s="85" t="s">
        <v>46</v>
      </c>
      <c r="E15" s="85">
        <v>2.37254901960784</v>
      </c>
      <c r="F15" s="85">
        <v>1.26586227511269</v>
      </c>
      <c r="G15" s="85">
        <v>102.0</v>
      </c>
      <c r="H15" s="85">
        <v>4.8019801980198</v>
      </c>
      <c r="I15" s="85">
        <v>1.92883281795078</v>
      </c>
      <c r="J15" s="85">
        <v>101.0</v>
      </c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84" t="s">
        <v>284</v>
      </c>
      <c r="B16" s="85" t="s">
        <v>285</v>
      </c>
      <c r="C16" s="85" t="s">
        <v>25</v>
      </c>
      <c r="D16" s="85" t="s">
        <v>12</v>
      </c>
      <c r="E16" s="85">
        <v>2.80392156862745</v>
      </c>
      <c r="F16" s="85">
        <v>1.19436975953868</v>
      </c>
      <c r="G16" s="85">
        <v>102.0</v>
      </c>
      <c r="H16" s="85">
        <v>4.48514851485149</v>
      </c>
      <c r="I16" s="85">
        <v>1.90585341191886</v>
      </c>
      <c r="J16" s="85">
        <v>101.0</v>
      </c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86" t="s">
        <v>785</v>
      </c>
      <c r="B17" s="87" t="s">
        <v>786</v>
      </c>
      <c r="C17" s="87" t="s">
        <v>25</v>
      </c>
      <c r="D17" s="87" t="s">
        <v>12</v>
      </c>
      <c r="E17" s="87">
        <v>4.2156862745098</v>
      </c>
      <c r="F17" s="87">
        <v>1.53911026747706</v>
      </c>
      <c r="G17" s="87">
        <v>102.0</v>
      </c>
      <c r="H17" s="87">
        <v>4.30693069306931</v>
      </c>
      <c r="I17" s="87">
        <v>1.56679656788893</v>
      </c>
      <c r="J17" s="87">
        <v>101.0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6" t="s">
        <v>1080</v>
      </c>
      <c r="B18" s="87" t="s">
        <v>1081</v>
      </c>
      <c r="C18" s="87" t="s">
        <v>25</v>
      </c>
      <c r="D18" s="87" t="s">
        <v>12</v>
      </c>
      <c r="E18" s="87">
        <v>4.70588235294118</v>
      </c>
      <c r="F18" s="87">
        <v>1.0953387766016</v>
      </c>
      <c r="G18" s="87">
        <v>102.0</v>
      </c>
      <c r="H18" s="87">
        <v>2.8019801980198</v>
      </c>
      <c r="I18" s="87">
        <v>1.52328462199418</v>
      </c>
      <c r="J18" s="87">
        <v>101.0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6" t="s">
        <v>1241</v>
      </c>
      <c r="B19" s="87" t="s">
        <v>1242</v>
      </c>
      <c r="C19" s="87" t="s">
        <v>25</v>
      </c>
      <c r="D19" s="87" t="s">
        <v>12</v>
      </c>
      <c r="E19" s="87">
        <v>5.01980198019802</v>
      </c>
      <c r="F19" s="87">
        <v>1.24080778543497</v>
      </c>
      <c r="G19" s="87">
        <v>101.0</v>
      </c>
      <c r="H19" s="87">
        <v>4.33980582524272</v>
      </c>
      <c r="I19" s="87">
        <v>1.63030971470089</v>
      </c>
      <c r="J19" s="87">
        <v>103.0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9" t="s">
        <v>40</v>
      </c>
      <c r="B20" s="90" t="s">
        <v>41</v>
      </c>
      <c r="C20" s="90" t="s">
        <v>39</v>
      </c>
      <c r="D20" s="90" t="s">
        <v>12</v>
      </c>
      <c r="E20" s="90">
        <v>1.60185185185185</v>
      </c>
      <c r="F20" s="90">
        <v>0.784663923711361</v>
      </c>
      <c r="G20" s="90">
        <v>108.0</v>
      </c>
      <c r="H20" s="90">
        <v>3.77884615384615</v>
      </c>
      <c r="I20" s="90">
        <v>1.95560797175926</v>
      </c>
      <c r="J20" s="90">
        <v>104.0</v>
      </c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>
      <c r="A21" s="89" t="s">
        <v>63</v>
      </c>
      <c r="B21" s="90" t="s">
        <v>64</v>
      </c>
      <c r="C21" s="90" t="s">
        <v>39</v>
      </c>
      <c r="D21" s="90" t="s">
        <v>12</v>
      </c>
      <c r="E21" s="90">
        <v>1.82352941176471</v>
      </c>
      <c r="F21" s="90">
        <v>1.30050839035502</v>
      </c>
      <c r="G21" s="90">
        <v>102.0</v>
      </c>
      <c r="H21" s="90">
        <v>5.45544554455446</v>
      </c>
      <c r="I21" s="90">
        <v>1.7973577967408</v>
      </c>
      <c r="J21" s="90">
        <v>101.0</v>
      </c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>
      <c r="A22" s="89" t="s">
        <v>137</v>
      </c>
      <c r="B22" s="90" t="s">
        <v>138</v>
      </c>
      <c r="C22" s="90" t="s">
        <v>39</v>
      </c>
      <c r="D22" s="90" t="s">
        <v>12</v>
      </c>
      <c r="E22" s="90">
        <v>2.22549019607843</v>
      </c>
      <c r="F22" s="90">
        <v>0.973987036580921</v>
      </c>
      <c r="G22" s="90">
        <v>102.0</v>
      </c>
      <c r="H22" s="90">
        <v>3.73267326732673</v>
      </c>
      <c r="I22" s="90">
        <v>1.77702610621741</v>
      </c>
      <c r="J22" s="90">
        <v>101.0</v>
      </c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>
      <c r="A23" s="92" t="s">
        <v>870</v>
      </c>
      <c r="B23" s="93" t="s">
        <v>871</v>
      </c>
      <c r="C23" s="93" t="s">
        <v>39</v>
      </c>
      <c r="D23" s="93" t="s">
        <v>12</v>
      </c>
      <c r="E23" s="93">
        <v>4.36633663366337</v>
      </c>
      <c r="F23" s="93">
        <v>1.18930881000039</v>
      </c>
      <c r="G23" s="93">
        <v>101.0</v>
      </c>
      <c r="H23" s="93">
        <v>4.40776699029126</v>
      </c>
      <c r="I23" s="93">
        <v>1.68869884476524</v>
      </c>
      <c r="J23" s="93">
        <v>103.0</v>
      </c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>
      <c r="A24" s="92" t="s">
        <v>1127</v>
      </c>
      <c r="B24" s="93" t="s">
        <v>1128</v>
      </c>
      <c r="C24" s="93" t="s">
        <v>39</v>
      </c>
      <c r="D24" s="93" t="s">
        <v>12</v>
      </c>
      <c r="E24" s="93">
        <v>4.7962962962963</v>
      </c>
      <c r="F24" s="93">
        <v>1.13367535001802</v>
      </c>
      <c r="G24" s="93">
        <v>108.0</v>
      </c>
      <c r="H24" s="93">
        <v>3.17307692307692</v>
      </c>
      <c r="I24" s="93">
        <v>1.82986183197598</v>
      </c>
      <c r="J24" s="93">
        <v>104.0</v>
      </c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>
      <c r="A25" s="92" t="s">
        <v>1263</v>
      </c>
      <c r="B25" s="93" t="s">
        <v>1264</v>
      </c>
      <c r="C25" s="93" t="s">
        <v>39</v>
      </c>
      <c r="D25" s="93" t="s">
        <v>12</v>
      </c>
      <c r="E25" s="93">
        <v>5.05882352941176</v>
      </c>
      <c r="F25" s="93">
        <v>0.942122413392826</v>
      </c>
      <c r="G25" s="93">
        <v>102.0</v>
      </c>
      <c r="H25" s="93">
        <v>3.30693069306931</v>
      </c>
      <c r="I25" s="93">
        <v>1.73056392113915</v>
      </c>
      <c r="J25" s="93">
        <v>101.0</v>
      </c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7">
      <c r="D27" s="95" t="s">
        <v>1887</v>
      </c>
      <c r="E27" s="96">
        <f>min(E2:E25)</f>
        <v>1.247524752</v>
      </c>
      <c r="G27" s="95" t="s">
        <v>1888</v>
      </c>
      <c r="H27" s="96">
        <f>min(H2:H25)</f>
        <v>2.108910891</v>
      </c>
    </row>
    <row r="28">
      <c r="D28" s="95" t="s">
        <v>1906</v>
      </c>
      <c r="E28" s="96">
        <f>max(E2:E25)</f>
        <v>5.137254902</v>
      </c>
      <c r="G28" s="95" t="s">
        <v>1893</v>
      </c>
      <c r="H28" s="96">
        <f>max(H2:H25)</f>
        <v>5.455445545</v>
      </c>
    </row>
    <row r="29">
      <c r="D29" s="95" t="s">
        <v>1899</v>
      </c>
      <c r="E29" s="96">
        <f>average(E2:E25)</f>
        <v>3.450954103</v>
      </c>
      <c r="G29" s="95" t="s">
        <v>1900</v>
      </c>
      <c r="H29" s="96">
        <f>average(H2:H25)</f>
        <v>3.805455912</v>
      </c>
    </row>
  </sheetData>
  <drawing r:id="rId1"/>
</worksheet>
</file>